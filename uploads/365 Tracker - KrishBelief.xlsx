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5AF4DF98-AA25-474A-A204-82995F0957CA}" xr6:coauthVersionLast="47" xr6:coauthVersionMax="47" xr10:uidLastSave="{00000000-0000-0000-0000-000000000000}"/>
  <bookViews>
    <workbookView xWindow="-36280" yWindow="5140" windowWidth="35840" windowHeight="20980" activeTab="11" xr2:uid="{727867DF-FF4B-BB4B-8333-2386C45CDDD6}"/>
  </bookViews>
  <sheets>
    <sheet name="January" sheetId="1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7" i="14" l="1"/>
  <c r="Z27" i="14"/>
  <c r="Y27" i="14"/>
  <c r="X27" i="14"/>
  <c r="W27" i="14"/>
  <c r="U27" i="14"/>
  <c r="T27" i="14"/>
  <c r="S27" i="14"/>
  <c r="P27" i="14"/>
  <c r="J27" i="14"/>
  <c r="I27" i="14"/>
  <c r="H27" i="14"/>
  <c r="G27" i="14"/>
  <c r="F27" i="14"/>
  <c r="E27" i="14"/>
  <c r="D27" i="14"/>
  <c r="AH26" i="14"/>
  <c r="AH27" i="14" s="1"/>
  <c r="AG26" i="14"/>
  <c r="AG27" i="14" s="1"/>
  <c r="AF26" i="14"/>
  <c r="AE26" i="14"/>
  <c r="AE27" i="14" s="1"/>
  <c r="AD26" i="14"/>
  <c r="AD27" i="14" s="1"/>
  <c r="AC26" i="14"/>
  <c r="AC27" i="14" s="1"/>
  <c r="AB26" i="14"/>
  <c r="AB27" i="14" s="1"/>
  <c r="AA26" i="14"/>
  <c r="AA27" i="14" s="1"/>
  <c r="Z26" i="14"/>
  <c r="Y26" i="14"/>
  <c r="X26" i="14"/>
  <c r="W26" i="14"/>
  <c r="V26" i="14"/>
  <c r="V27" i="14" s="1"/>
  <c r="U26" i="14"/>
  <c r="T26" i="14"/>
  <c r="S26" i="14"/>
  <c r="R26" i="14"/>
  <c r="R27" i="14" s="1"/>
  <c r="Q26" i="14"/>
  <c r="Q27" i="14" s="1"/>
  <c r="P26" i="14"/>
  <c r="O26" i="14"/>
  <c r="O27" i="14" s="1"/>
  <c r="N26" i="14"/>
  <c r="N27" i="14" s="1"/>
  <c r="M26" i="14"/>
  <c r="M27" i="14" s="1"/>
  <c r="L26" i="14"/>
  <c r="L27" i="14" s="1"/>
  <c r="K26" i="14"/>
  <c r="K27" i="14" s="1"/>
  <c r="J26" i="14"/>
  <c r="I26" i="14"/>
  <c r="H26" i="14"/>
  <c r="G26" i="14"/>
  <c r="F26" i="14"/>
  <c r="E26" i="14"/>
  <c r="D26" i="14"/>
  <c r="AJ24" i="14"/>
  <c r="AK24" i="14" s="1"/>
  <c r="AJ23" i="14"/>
  <c r="AK23" i="14" s="1"/>
  <c r="AJ22" i="14"/>
  <c r="AK22" i="14" s="1"/>
  <c r="AJ21" i="14"/>
  <c r="AK21" i="14" s="1"/>
  <c r="AJ20" i="14"/>
  <c r="AK20" i="14" s="1"/>
  <c r="AJ19" i="14"/>
  <c r="AK19" i="14" s="1"/>
  <c r="AJ18" i="14"/>
  <c r="AK18" i="14" s="1"/>
  <c r="AJ17" i="14"/>
  <c r="AK17" i="14" s="1"/>
  <c r="AJ16" i="14"/>
  <c r="AJ15" i="14"/>
  <c r="AK15" i="14" s="1"/>
  <c r="D14" i="14" a="1"/>
  <c r="D14" i="14" s="1"/>
  <c r="AF27" i="13"/>
  <c r="Y27" i="13"/>
  <c r="X27" i="13"/>
  <c r="W27" i="13"/>
  <c r="V27" i="13"/>
  <c r="U27" i="13"/>
  <c r="T27" i="13"/>
  <c r="P27" i="13"/>
  <c r="I27" i="13"/>
  <c r="H27" i="13"/>
  <c r="G27" i="13"/>
  <c r="F27" i="13"/>
  <c r="E27" i="13"/>
  <c r="D27" i="13"/>
  <c r="AH26" i="13"/>
  <c r="AH27" i="13" s="1"/>
  <c r="AG26" i="13"/>
  <c r="AG27" i="13" s="1"/>
  <c r="AF26" i="13"/>
  <c r="AE26" i="13"/>
  <c r="AE27" i="13" s="1"/>
  <c r="AD26" i="13"/>
  <c r="AD27" i="13" s="1"/>
  <c r="AC26" i="13"/>
  <c r="AC27" i="13" s="1"/>
  <c r="AB26" i="13"/>
  <c r="AB27" i="13" s="1"/>
  <c r="AA26" i="13"/>
  <c r="AA27" i="13" s="1"/>
  <c r="Z26" i="13"/>
  <c r="Z27" i="13" s="1"/>
  <c r="Y26" i="13"/>
  <c r="X26" i="13"/>
  <c r="W26" i="13"/>
  <c r="V26" i="13"/>
  <c r="U26" i="13"/>
  <c r="T26" i="13"/>
  <c r="S26" i="13"/>
  <c r="S27" i="13" s="1"/>
  <c r="R26" i="13"/>
  <c r="R27" i="13" s="1"/>
  <c r="Q26" i="13"/>
  <c r="Q27" i="13" s="1"/>
  <c r="P26" i="13"/>
  <c r="O26" i="13"/>
  <c r="O27" i="13" s="1"/>
  <c r="N26" i="13"/>
  <c r="N27" i="13" s="1"/>
  <c r="M26" i="13"/>
  <c r="M27" i="13" s="1"/>
  <c r="L26" i="13"/>
  <c r="L27" i="13" s="1"/>
  <c r="K26" i="13"/>
  <c r="K27" i="13" s="1"/>
  <c r="J26" i="13"/>
  <c r="J27" i="13" s="1"/>
  <c r="I26" i="13"/>
  <c r="H26" i="13"/>
  <c r="G26" i="13"/>
  <c r="F26" i="13"/>
  <c r="E26" i="13"/>
  <c r="D26" i="13"/>
  <c r="AJ24" i="13"/>
  <c r="AK24" i="13" s="1"/>
  <c r="AJ23" i="13"/>
  <c r="AK23" i="13" s="1"/>
  <c r="AJ22" i="13"/>
  <c r="AK22" i="13" s="1"/>
  <c r="AJ21" i="13"/>
  <c r="AK21" i="13" s="1"/>
  <c r="AJ20" i="13"/>
  <c r="AK20" i="13" s="1"/>
  <c r="AJ19" i="13"/>
  <c r="AK19" i="13" s="1"/>
  <c r="AJ18" i="13"/>
  <c r="AK18" i="13" s="1"/>
  <c r="AJ17" i="13"/>
  <c r="AK17" i="13" s="1"/>
  <c r="AJ16" i="13"/>
  <c r="AK16" i="13" s="1"/>
  <c r="AJ15" i="13"/>
  <c r="AK15" i="13" s="1"/>
  <c r="D14" i="13" a="1"/>
  <c r="D14" i="13" s="1"/>
  <c r="AG27" i="12"/>
  <c r="AE27" i="12"/>
  <c r="AD27" i="12"/>
  <c r="AB27" i="12"/>
  <c r="Y27" i="12"/>
  <c r="T27" i="12"/>
  <c r="S27" i="12"/>
  <c r="Q27" i="12"/>
  <c r="O27" i="12"/>
  <c r="N27" i="12"/>
  <c r="L27" i="12"/>
  <c r="I27" i="12"/>
  <c r="D27" i="12"/>
  <c r="AH26" i="12"/>
  <c r="AH27" i="12" s="1"/>
  <c r="AG26" i="12"/>
  <c r="AF26" i="12"/>
  <c r="AF27" i="12" s="1"/>
  <c r="AE26" i="12"/>
  <c r="AD26" i="12"/>
  <c r="AC26" i="12"/>
  <c r="AC27" i="12" s="1"/>
  <c r="AB26" i="12"/>
  <c r="AA26" i="12"/>
  <c r="AA27" i="12" s="1"/>
  <c r="Z26" i="12"/>
  <c r="Z27" i="12" s="1"/>
  <c r="Y26" i="12"/>
  <c r="X26" i="12"/>
  <c r="X27" i="12" s="1"/>
  <c r="W26" i="12"/>
  <c r="W27" i="12" s="1"/>
  <c r="V26" i="12"/>
  <c r="V27" i="12" s="1"/>
  <c r="U26" i="12"/>
  <c r="U27" i="12" s="1"/>
  <c r="T26" i="12"/>
  <c r="S26" i="12"/>
  <c r="R26" i="12"/>
  <c r="R27" i="12" s="1"/>
  <c r="Q26" i="12"/>
  <c r="P26" i="12"/>
  <c r="P27" i="12" s="1"/>
  <c r="O26" i="12"/>
  <c r="N26" i="12"/>
  <c r="M26" i="12"/>
  <c r="M27" i="12" s="1"/>
  <c r="L26" i="12"/>
  <c r="K26" i="12"/>
  <c r="K27" i="12" s="1"/>
  <c r="J26" i="12"/>
  <c r="J27" i="12" s="1"/>
  <c r="I26" i="12"/>
  <c r="H26" i="12"/>
  <c r="H27" i="12" s="1"/>
  <c r="G26" i="12"/>
  <c r="G27" i="12" s="1"/>
  <c r="F26" i="12"/>
  <c r="F27" i="12" s="1"/>
  <c r="E26" i="12"/>
  <c r="E27" i="12" s="1"/>
  <c r="D26" i="12"/>
  <c r="AJ24" i="12"/>
  <c r="AK24" i="12" s="1"/>
  <c r="AJ23" i="12"/>
  <c r="AK23" i="12" s="1"/>
  <c r="AJ22" i="12"/>
  <c r="AK22" i="12" s="1"/>
  <c r="AK21" i="12"/>
  <c r="AJ21" i="12"/>
  <c r="AK20" i="12"/>
  <c r="AJ20" i="12"/>
  <c r="AJ19" i="12"/>
  <c r="AK19" i="12" s="1"/>
  <c r="AJ18" i="12"/>
  <c r="AK18" i="12" s="1"/>
  <c r="AJ17" i="12"/>
  <c r="AK17" i="12" s="1"/>
  <c r="AJ16" i="12"/>
  <c r="AJ15" i="12"/>
  <c r="AK15" i="12" s="1"/>
  <c r="D14" i="12" a="1"/>
  <c r="D14" i="12" s="1"/>
  <c r="AC27" i="11"/>
  <c r="Z27" i="11"/>
  <c r="Y27" i="11"/>
  <c r="X27" i="11"/>
  <c r="W27" i="11"/>
  <c r="V27" i="11"/>
  <c r="U27" i="11"/>
  <c r="T27" i="11"/>
  <c r="S27" i="11"/>
  <c r="M27" i="11"/>
  <c r="J27" i="11"/>
  <c r="I27" i="11"/>
  <c r="H27" i="11"/>
  <c r="G27" i="11"/>
  <c r="F27" i="11"/>
  <c r="E27" i="11"/>
  <c r="D27" i="11"/>
  <c r="AH26" i="11"/>
  <c r="AH27" i="11" s="1"/>
  <c r="AG26" i="11"/>
  <c r="AG27" i="11" s="1"/>
  <c r="AF26" i="11"/>
  <c r="AF27" i="11" s="1"/>
  <c r="AE26" i="11"/>
  <c r="AE27" i="11" s="1"/>
  <c r="AD26" i="11"/>
  <c r="AD27" i="11" s="1"/>
  <c r="AC26" i="11"/>
  <c r="AB26" i="11"/>
  <c r="AB27" i="11" s="1"/>
  <c r="AA26" i="11"/>
  <c r="AA27" i="11" s="1"/>
  <c r="Z26" i="11"/>
  <c r="Y26" i="11"/>
  <c r="X26" i="11"/>
  <c r="W26" i="11"/>
  <c r="V26" i="11"/>
  <c r="U26" i="11"/>
  <c r="T26" i="11"/>
  <c r="S26" i="11"/>
  <c r="R26" i="11"/>
  <c r="R27" i="11" s="1"/>
  <c r="Q26" i="11"/>
  <c r="Q27" i="11" s="1"/>
  <c r="P26" i="11"/>
  <c r="P27" i="11" s="1"/>
  <c r="O26" i="11"/>
  <c r="O27" i="11" s="1"/>
  <c r="N26" i="11"/>
  <c r="N27" i="11" s="1"/>
  <c r="M26" i="11"/>
  <c r="L26" i="11"/>
  <c r="L27" i="11" s="1"/>
  <c r="K26" i="11"/>
  <c r="K27" i="11" s="1"/>
  <c r="J26" i="11"/>
  <c r="I26" i="11"/>
  <c r="H26" i="11"/>
  <c r="G26" i="11"/>
  <c r="F26" i="11"/>
  <c r="E26" i="11"/>
  <c r="D26" i="11"/>
  <c r="AJ24" i="11"/>
  <c r="AK24" i="11" s="1"/>
  <c r="AJ23" i="11"/>
  <c r="AK23" i="11" s="1"/>
  <c r="AJ22" i="11"/>
  <c r="AK22" i="11" s="1"/>
  <c r="AJ21" i="11"/>
  <c r="AK21" i="11" s="1"/>
  <c r="AK20" i="11"/>
  <c r="AJ20" i="11"/>
  <c r="AJ19" i="11"/>
  <c r="AK19" i="11" s="1"/>
  <c r="AJ18" i="11"/>
  <c r="AK18" i="11" s="1"/>
  <c r="AJ17" i="11"/>
  <c r="AK17" i="11" s="1"/>
  <c r="AJ16" i="11"/>
  <c r="AJ15" i="11"/>
  <c r="AK15" i="11" s="1"/>
  <c r="D14" i="11" a="1"/>
  <c r="D14" i="11" s="1"/>
  <c r="AE27" i="10"/>
  <c r="Z27" i="10"/>
  <c r="Y27" i="10"/>
  <c r="X27" i="10"/>
  <c r="W27" i="10"/>
  <c r="V27" i="10"/>
  <c r="F27" i="10"/>
  <c r="E27" i="10"/>
  <c r="AH26" i="10"/>
  <c r="AH27" i="10" s="1"/>
  <c r="AG26" i="10"/>
  <c r="AG27" i="10" s="1"/>
  <c r="AF26" i="10"/>
  <c r="AF27" i="10" s="1"/>
  <c r="AE26" i="10"/>
  <c r="AD26" i="10"/>
  <c r="AD27" i="10" s="1"/>
  <c r="AC26" i="10"/>
  <c r="AC27" i="10" s="1"/>
  <c r="AB26" i="10"/>
  <c r="AB27" i="10" s="1"/>
  <c r="AA26" i="10"/>
  <c r="AA27" i="10" s="1"/>
  <c r="Z26" i="10"/>
  <c r="Y26" i="10"/>
  <c r="X26" i="10"/>
  <c r="W26" i="10"/>
  <c r="V26" i="10"/>
  <c r="U26" i="10"/>
  <c r="U27" i="10" s="1"/>
  <c r="T26" i="10"/>
  <c r="T27" i="10" s="1"/>
  <c r="S26" i="10"/>
  <c r="S27" i="10" s="1"/>
  <c r="R26" i="10"/>
  <c r="R27" i="10" s="1"/>
  <c r="Q26" i="10"/>
  <c r="Q27" i="10" s="1"/>
  <c r="P26" i="10"/>
  <c r="P27" i="10" s="1"/>
  <c r="O26" i="10"/>
  <c r="O27" i="10" s="1"/>
  <c r="N26" i="10"/>
  <c r="N27" i="10" s="1"/>
  <c r="M26" i="10"/>
  <c r="M27" i="10" s="1"/>
  <c r="L26" i="10"/>
  <c r="L27" i="10" s="1"/>
  <c r="K26" i="10"/>
  <c r="K27" i="10" s="1"/>
  <c r="J26" i="10"/>
  <c r="J27" i="10" s="1"/>
  <c r="I26" i="10"/>
  <c r="I27" i="10" s="1"/>
  <c r="H26" i="10"/>
  <c r="H27" i="10" s="1"/>
  <c r="G26" i="10"/>
  <c r="G27" i="10" s="1"/>
  <c r="F26" i="10"/>
  <c r="E26" i="10"/>
  <c r="D26" i="10"/>
  <c r="D27" i="10" s="1"/>
  <c r="AJ24" i="10"/>
  <c r="AK24" i="10" s="1"/>
  <c r="AJ23" i="10"/>
  <c r="AK23" i="10" s="1"/>
  <c r="AJ22" i="10"/>
  <c r="AK22" i="10" s="1"/>
  <c r="AJ21" i="10"/>
  <c r="AK21" i="10" s="1"/>
  <c r="AJ20" i="10"/>
  <c r="AK20" i="10" s="1"/>
  <c r="AJ19" i="10"/>
  <c r="AK19" i="10" s="1"/>
  <c r="AJ18" i="10"/>
  <c r="AK18" i="10" s="1"/>
  <c r="AJ17" i="10"/>
  <c r="AK17" i="10" s="1"/>
  <c r="AJ16" i="10"/>
  <c r="AK16" i="10" s="1"/>
  <c r="AJ15" i="10"/>
  <c r="AK15" i="10" s="1"/>
  <c r="D14" i="10" a="1"/>
  <c r="D14" i="10" s="1"/>
  <c r="AH26" i="9"/>
  <c r="AH27" i="9" s="1"/>
  <c r="AG26" i="9"/>
  <c r="AG27" i="9" s="1"/>
  <c r="AF26" i="9"/>
  <c r="AF27" i="9" s="1"/>
  <c r="AE26" i="9"/>
  <c r="AE27" i="9" s="1"/>
  <c r="AD26" i="9"/>
  <c r="AD27" i="9" s="1"/>
  <c r="AC26" i="9"/>
  <c r="AC27" i="9" s="1"/>
  <c r="AB26" i="9"/>
  <c r="AB27" i="9" s="1"/>
  <c r="AA26" i="9"/>
  <c r="AA27" i="9" s="1"/>
  <c r="Z26" i="9"/>
  <c r="Z27" i="9" s="1"/>
  <c r="Y26" i="9"/>
  <c r="Y27" i="9" s="1"/>
  <c r="X26" i="9"/>
  <c r="X27" i="9" s="1"/>
  <c r="W26" i="9"/>
  <c r="W27" i="9" s="1"/>
  <c r="V26" i="9"/>
  <c r="V27" i="9" s="1"/>
  <c r="U26" i="9"/>
  <c r="U27" i="9" s="1"/>
  <c r="T26" i="9"/>
  <c r="T27" i="9" s="1"/>
  <c r="S26" i="9"/>
  <c r="S27" i="9" s="1"/>
  <c r="R26" i="9"/>
  <c r="R27" i="9" s="1"/>
  <c r="Q26" i="9"/>
  <c r="Q27" i="9" s="1"/>
  <c r="P26" i="9"/>
  <c r="P27" i="9" s="1"/>
  <c r="O26" i="9"/>
  <c r="O27" i="9" s="1"/>
  <c r="N26" i="9"/>
  <c r="N27" i="9" s="1"/>
  <c r="M26" i="9"/>
  <c r="M27" i="9" s="1"/>
  <c r="L26" i="9"/>
  <c r="L27" i="9" s="1"/>
  <c r="K26" i="9"/>
  <c r="K27" i="9" s="1"/>
  <c r="J26" i="9"/>
  <c r="J27" i="9" s="1"/>
  <c r="I26" i="9"/>
  <c r="I27" i="9" s="1"/>
  <c r="H26" i="9"/>
  <c r="H27" i="9" s="1"/>
  <c r="G26" i="9"/>
  <c r="G27" i="9" s="1"/>
  <c r="F26" i="9"/>
  <c r="F27" i="9" s="1"/>
  <c r="E26" i="9"/>
  <c r="E27" i="9" s="1"/>
  <c r="D26" i="9"/>
  <c r="D27" i="9" s="1"/>
  <c r="AJ24" i="9"/>
  <c r="AK24" i="9" s="1"/>
  <c r="AJ23" i="9"/>
  <c r="AK23" i="9" s="1"/>
  <c r="AJ22" i="9"/>
  <c r="AK22" i="9" s="1"/>
  <c r="AJ21" i="9"/>
  <c r="AK21" i="9" s="1"/>
  <c r="AJ20" i="9"/>
  <c r="AK20" i="9" s="1"/>
  <c r="AJ19" i="9"/>
  <c r="AK19" i="9" s="1"/>
  <c r="AJ18" i="9"/>
  <c r="AK18" i="9" s="1"/>
  <c r="AJ17" i="9"/>
  <c r="AK17" i="9" s="1"/>
  <c r="AJ16" i="9"/>
  <c r="AJ15" i="9"/>
  <c r="AK15" i="9" s="1"/>
  <c r="D14" i="9" a="1"/>
  <c r="D14" i="9" s="1"/>
  <c r="AA27" i="8"/>
  <c r="K27" i="8"/>
  <c r="J27" i="8"/>
  <c r="H27" i="8"/>
  <c r="AH26" i="8"/>
  <c r="AH27" i="8" s="1"/>
  <c r="AG26" i="8"/>
  <c r="AG27" i="8" s="1"/>
  <c r="AF26" i="8"/>
  <c r="AF27" i="8" s="1"/>
  <c r="AE26" i="8"/>
  <c r="AE27" i="8" s="1"/>
  <c r="AD26" i="8"/>
  <c r="AD27" i="8" s="1"/>
  <c r="AC26" i="8"/>
  <c r="AC27" i="8" s="1"/>
  <c r="AB26" i="8"/>
  <c r="AB27" i="8" s="1"/>
  <c r="AA26" i="8"/>
  <c r="Z26" i="8"/>
  <c r="Z27" i="8" s="1"/>
  <c r="Y26" i="8"/>
  <c r="Y27" i="8" s="1"/>
  <c r="X26" i="8"/>
  <c r="X27" i="8" s="1"/>
  <c r="W26" i="8"/>
  <c r="W27" i="8" s="1"/>
  <c r="V26" i="8"/>
  <c r="V27" i="8" s="1"/>
  <c r="U26" i="8"/>
  <c r="U27" i="8" s="1"/>
  <c r="T26" i="8"/>
  <c r="T27" i="8" s="1"/>
  <c r="S26" i="8"/>
  <c r="S27" i="8" s="1"/>
  <c r="R26" i="8"/>
  <c r="R27" i="8" s="1"/>
  <c r="Q26" i="8"/>
  <c r="Q27" i="8" s="1"/>
  <c r="P26" i="8"/>
  <c r="P27" i="8" s="1"/>
  <c r="O26" i="8"/>
  <c r="O27" i="8" s="1"/>
  <c r="N26" i="8"/>
  <c r="N27" i="8" s="1"/>
  <c r="M26" i="8"/>
  <c r="M27" i="8" s="1"/>
  <c r="L26" i="8"/>
  <c r="L27" i="8" s="1"/>
  <c r="K26" i="8"/>
  <c r="J26" i="8"/>
  <c r="I26" i="8"/>
  <c r="I27" i="8" s="1"/>
  <c r="H26" i="8"/>
  <c r="G26" i="8"/>
  <c r="G27" i="8" s="1"/>
  <c r="F26" i="8"/>
  <c r="F27" i="8" s="1"/>
  <c r="E26" i="8"/>
  <c r="E27" i="8" s="1"/>
  <c r="D26" i="8"/>
  <c r="D27" i="8" s="1"/>
  <c r="AJ24" i="8"/>
  <c r="AK24" i="8" s="1"/>
  <c r="AJ23" i="8"/>
  <c r="AK23" i="8" s="1"/>
  <c r="AJ22" i="8"/>
  <c r="AK22" i="8" s="1"/>
  <c r="AJ21" i="8"/>
  <c r="AK21" i="8" s="1"/>
  <c r="AJ20" i="8"/>
  <c r="AK20" i="8" s="1"/>
  <c r="AJ19" i="8"/>
  <c r="AK19" i="8" s="1"/>
  <c r="AJ18" i="8"/>
  <c r="AK18" i="8" s="1"/>
  <c r="AJ17" i="8"/>
  <c r="AK17" i="8" s="1"/>
  <c r="AJ16" i="8"/>
  <c r="AK16" i="8" s="1"/>
  <c r="AJ15" i="8"/>
  <c r="AK15" i="8" s="1"/>
  <c r="D14" i="8" a="1"/>
  <c r="D14" i="8" s="1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O27" i="7"/>
  <c r="N27" i="7"/>
  <c r="M27" i="7"/>
  <c r="L27" i="7"/>
  <c r="J27" i="7"/>
  <c r="I27" i="7"/>
  <c r="G27" i="7"/>
  <c r="F27" i="7"/>
  <c r="E27" i="7"/>
  <c r="D27" i="7"/>
  <c r="AH26" i="7"/>
  <c r="AH27" i="7" s="1"/>
  <c r="AG26" i="7"/>
  <c r="AG27" i="7" s="1"/>
  <c r="AF26" i="7"/>
  <c r="AF27" i="7" s="1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R27" i="7" s="1"/>
  <c r="Q26" i="7"/>
  <c r="Q27" i="7" s="1"/>
  <c r="P26" i="7"/>
  <c r="P27" i="7" s="1"/>
  <c r="O26" i="7"/>
  <c r="N26" i="7"/>
  <c r="M26" i="7"/>
  <c r="L26" i="7"/>
  <c r="K26" i="7"/>
  <c r="K27" i="7" s="1"/>
  <c r="J26" i="7"/>
  <c r="I26" i="7"/>
  <c r="H26" i="7"/>
  <c r="H27" i="7" s="1"/>
  <c r="G26" i="7"/>
  <c r="F26" i="7"/>
  <c r="E26" i="7"/>
  <c r="D26" i="7"/>
  <c r="AJ24" i="7"/>
  <c r="AK24" i="7" s="1"/>
  <c r="AJ23" i="7"/>
  <c r="AK23" i="7" s="1"/>
  <c r="AJ22" i="7"/>
  <c r="AK22" i="7" s="1"/>
  <c r="AJ21" i="7"/>
  <c r="AK21" i="7" s="1"/>
  <c r="AJ20" i="7"/>
  <c r="AK20" i="7" s="1"/>
  <c r="AJ19" i="7"/>
  <c r="AK19" i="7" s="1"/>
  <c r="AJ18" i="7"/>
  <c r="AK18" i="7" s="1"/>
  <c r="AJ17" i="7"/>
  <c r="AK17" i="7" s="1"/>
  <c r="AJ16" i="7"/>
  <c r="AJ15" i="7"/>
  <c r="AK15" i="7" s="1"/>
  <c r="D14" i="7" a="1"/>
  <c r="D14" i="7" s="1"/>
  <c r="AJ24" i="6"/>
  <c r="AK24" i="6" s="1"/>
  <c r="AJ23" i="6"/>
  <c r="AK23" i="6" s="1"/>
  <c r="AJ22" i="6"/>
  <c r="AJ21" i="6"/>
  <c r="AK21" i="6" s="1"/>
  <c r="AJ20" i="6"/>
  <c r="AK20" i="6" s="1"/>
  <c r="AJ19" i="6"/>
  <c r="AJ18" i="6"/>
  <c r="AK18" i="6" s="1"/>
  <c r="AJ17" i="6"/>
  <c r="AK17" i="6" s="1"/>
  <c r="AJ16" i="6"/>
  <c r="AJ15" i="6"/>
  <c r="AK15" i="6" s="1"/>
  <c r="AE27" i="6"/>
  <c r="AC27" i="6"/>
  <c r="AB27" i="6"/>
  <c r="AA27" i="6"/>
  <c r="Z27" i="6"/>
  <c r="Y27" i="6"/>
  <c r="U27" i="6"/>
  <c r="T27" i="6"/>
  <c r="S27" i="6"/>
  <c r="O27" i="6"/>
  <c r="M27" i="6"/>
  <c r="L27" i="6"/>
  <c r="K27" i="6"/>
  <c r="J27" i="6"/>
  <c r="I27" i="6"/>
  <c r="D27" i="6"/>
  <c r="AH26" i="6"/>
  <c r="AH27" i="6" s="1"/>
  <c r="AG26" i="6"/>
  <c r="AG27" i="6" s="1"/>
  <c r="AF26" i="6"/>
  <c r="AF27" i="6" s="1"/>
  <c r="AE26" i="6"/>
  <c r="AD26" i="6"/>
  <c r="AD27" i="6" s="1"/>
  <c r="AC26" i="6"/>
  <c r="AB26" i="6"/>
  <c r="AA26" i="6"/>
  <c r="Z26" i="6"/>
  <c r="Y26" i="6"/>
  <c r="X26" i="6"/>
  <c r="X27" i="6" s="1"/>
  <c r="W26" i="6"/>
  <c r="W27" i="6" s="1"/>
  <c r="V26" i="6"/>
  <c r="V27" i="6" s="1"/>
  <c r="U26" i="6"/>
  <c r="T26" i="6"/>
  <c r="S26" i="6"/>
  <c r="R26" i="6"/>
  <c r="R27" i="6" s="1"/>
  <c r="Q26" i="6"/>
  <c r="Q27" i="6" s="1"/>
  <c r="P26" i="6"/>
  <c r="P27" i="6" s="1"/>
  <c r="O26" i="6"/>
  <c r="N26" i="6"/>
  <c r="N27" i="6" s="1"/>
  <c r="M26" i="6"/>
  <c r="L26" i="6"/>
  <c r="K26" i="6"/>
  <c r="J26" i="6"/>
  <c r="I26" i="6"/>
  <c r="H26" i="6"/>
  <c r="H27" i="6" s="1"/>
  <c r="G26" i="6"/>
  <c r="G27" i="6" s="1"/>
  <c r="AK3" i="6" s="1"/>
  <c r="F26" i="6"/>
  <c r="F27" i="6" s="1"/>
  <c r="E26" i="6"/>
  <c r="E27" i="6" s="1"/>
  <c r="D26" i="6"/>
  <c r="AK22" i="6"/>
  <c r="D14" i="6" a="1"/>
  <c r="D14" i="6" s="1"/>
  <c r="D27" i="5"/>
  <c r="AH26" i="5"/>
  <c r="AH27" i="5" s="1"/>
  <c r="AG26" i="5"/>
  <c r="AG27" i="5" s="1"/>
  <c r="AF26" i="5"/>
  <c r="AF27" i="5" s="1"/>
  <c r="AE26" i="5"/>
  <c r="AE27" i="5" s="1"/>
  <c r="AD26" i="5"/>
  <c r="AD27" i="5" s="1"/>
  <c r="AC26" i="5"/>
  <c r="AC27" i="5" s="1"/>
  <c r="AB26" i="5"/>
  <c r="AB27" i="5" s="1"/>
  <c r="AA26" i="5"/>
  <c r="AA27" i="5" s="1"/>
  <c r="Z26" i="5"/>
  <c r="Z27" i="5" s="1"/>
  <c r="Y26" i="5"/>
  <c r="Y27" i="5" s="1"/>
  <c r="X26" i="5"/>
  <c r="X27" i="5" s="1"/>
  <c r="W26" i="5"/>
  <c r="W27" i="5" s="1"/>
  <c r="V26" i="5"/>
  <c r="V27" i="5" s="1"/>
  <c r="U26" i="5"/>
  <c r="U27" i="5" s="1"/>
  <c r="T26" i="5"/>
  <c r="T27" i="5" s="1"/>
  <c r="S26" i="5"/>
  <c r="S27" i="5" s="1"/>
  <c r="R26" i="5"/>
  <c r="R27" i="5" s="1"/>
  <c r="Q26" i="5"/>
  <c r="Q27" i="5" s="1"/>
  <c r="P26" i="5"/>
  <c r="P27" i="5" s="1"/>
  <c r="O26" i="5"/>
  <c r="O27" i="5" s="1"/>
  <c r="N26" i="5"/>
  <c r="N27" i="5" s="1"/>
  <c r="M26" i="5"/>
  <c r="M27" i="5" s="1"/>
  <c r="L26" i="5"/>
  <c r="L27" i="5" s="1"/>
  <c r="K26" i="5"/>
  <c r="K27" i="5" s="1"/>
  <c r="J26" i="5"/>
  <c r="J27" i="5" s="1"/>
  <c r="I26" i="5"/>
  <c r="I27" i="5" s="1"/>
  <c r="H26" i="5"/>
  <c r="H27" i="5" s="1"/>
  <c r="G26" i="5"/>
  <c r="G27" i="5" s="1"/>
  <c r="F26" i="5"/>
  <c r="F27" i="5" s="1"/>
  <c r="E26" i="5"/>
  <c r="E27" i="5" s="1"/>
  <c r="D26" i="5"/>
  <c r="AJ24" i="5"/>
  <c r="AK24" i="5" s="1"/>
  <c r="AJ23" i="5"/>
  <c r="AK23" i="5" s="1"/>
  <c r="AJ22" i="5"/>
  <c r="AK22" i="5" s="1"/>
  <c r="AJ21" i="5"/>
  <c r="AK21" i="5" s="1"/>
  <c r="AJ20" i="5"/>
  <c r="AK20" i="5" s="1"/>
  <c r="AJ19" i="5"/>
  <c r="AK19" i="5" s="1"/>
  <c r="AJ18" i="5"/>
  <c r="AK18" i="5" s="1"/>
  <c r="AJ17" i="5"/>
  <c r="AK17" i="5" s="1"/>
  <c r="AJ16" i="5"/>
  <c r="AJ15" i="5"/>
  <c r="AK15" i="5" s="1"/>
  <c r="D14" i="5" a="1"/>
  <c r="AJ24" i="4"/>
  <c r="AK24" i="4" s="1"/>
  <c r="AJ23" i="4"/>
  <c r="AK23" i="4" s="1"/>
  <c r="AJ22" i="4"/>
  <c r="AK22" i="4" s="1"/>
  <c r="AJ21" i="4"/>
  <c r="AK21" i="4" s="1"/>
  <c r="AJ20" i="4"/>
  <c r="AK20" i="4" s="1"/>
  <c r="AJ19" i="4"/>
  <c r="AK19" i="4" s="1"/>
  <c r="AJ18" i="4"/>
  <c r="AK18" i="4" s="1"/>
  <c r="AJ17" i="4"/>
  <c r="AK17" i="4" s="1"/>
  <c r="AJ16" i="4"/>
  <c r="AK16" i="4" s="1"/>
  <c r="AJ15" i="4"/>
  <c r="AK15" i="4" s="1"/>
  <c r="AG27" i="4"/>
  <c r="AF27" i="4"/>
  <c r="AH26" i="4"/>
  <c r="AH27" i="4" s="1"/>
  <c r="AG26" i="4"/>
  <c r="AF26" i="4"/>
  <c r="AE26" i="4"/>
  <c r="AE27" i="4" s="1"/>
  <c r="AD26" i="4"/>
  <c r="AD27" i="4" s="1"/>
  <c r="AC26" i="4"/>
  <c r="AC27" i="4" s="1"/>
  <c r="AB26" i="4"/>
  <c r="AB27" i="4" s="1"/>
  <c r="AA26" i="4"/>
  <c r="AA27" i="4" s="1"/>
  <c r="Z26" i="4"/>
  <c r="Z27" i="4" s="1"/>
  <c r="Y26" i="4"/>
  <c r="Y27" i="4" s="1"/>
  <c r="X26" i="4"/>
  <c r="X27" i="4" s="1"/>
  <c r="W26" i="4"/>
  <c r="W27" i="4" s="1"/>
  <c r="V26" i="4"/>
  <c r="V27" i="4" s="1"/>
  <c r="U26" i="4"/>
  <c r="U27" i="4" s="1"/>
  <c r="T26" i="4"/>
  <c r="T27" i="4" s="1"/>
  <c r="S26" i="4"/>
  <c r="S27" i="4" s="1"/>
  <c r="R26" i="4"/>
  <c r="R27" i="4" s="1"/>
  <c r="Q26" i="4"/>
  <c r="Q27" i="4" s="1"/>
  <c r="P26" i="4"/>
  <c r="P27" i="4" s="1"/>
  <c r="O26" i="4"/>
  <c r="O27" i="4" s="1"/>
  <c r="N26" i="4"/>
  <c r="N27" i="4" s="1"/>
  <c r="M26" i="4"/>
  <c r="M27" i="4" s="1"/>
  <c r="L26" i="4"/>
  <c r="L27" i="4" s="1"/>
  <c r="K26" i="4"/>
  <c r="K27" i="4" s="1"/>
  <c r="J26" i="4"/>
  <c r="J27" i="4" s="1"/>
  <c r="I26" i="4"/>
  <c r="I27" i="4" s="1"/>
  <c r="H26" i="4"/>
  <c r="H27" i="4" s="1"/>
  <c r="G26" i="4"/>
  <c r="G27" i="4" s="1"/>
  <c r="F26" i="4"/>
  <c r="F27" i="4" s="1"/>
  <c r="E26" i="4"/>
  <c r="E27" i="4" s="1"/>
  <c r="D26" i="4"/>
  <c r="D27" i="4" s="1"/>
  <c r="D14" i="4" a="1"/>
  <c r="AJ24" i="1"/>
  <c r="AK24" i="1" s="1"/>
  <c r="AJ23" i="1"/>
  <c r="AK23" i="1" s="1"/>
  <c r="AJ22" i="1"/>
  <c r="AK22" i="1" s="1"/>
  <c r="AJ21" i="1"/>
  <c r="AK21" i="1" s="1"/>
  <c r="AJ20" i="1"/>
  <c r="AK20" i="1" s="1"/>
  <c r="AJ19" i="1"/>
  <c r="AK19" i="1" s="1"/>
  <c r="AJ18" i="1"/>
  <c r="AK18" i="1" s="1"/>
  <c r="AJ17" i="1"/>
  <c r="AK17" i="1" s="1"/>
  <c r="AJ16" i="1"/>
  <c r="AJ15" i="1"/>
  <c r="AH26" i="1"/>
  <c r="AH27" i="1" s="1"/>
  <c r="AG26" i="1"/>
  <c r="AG27" i="1" s="1"/>
  <c r="AF26" i="1"/>
  <c r="AF27" i="1" s="1"/>
  <c r="AE26" i="1"/>
  <c r="AE27" i="1" s="1"/>
  <c r="AD26" i="1"/>
  <c r="AD27" i="1" s="1"/>
  <c r="AC26" i="1"/>
  <c r="AC27" i="1" s="1"/>
  <c r="AB26" i="1"/>
  <c r="AB27" i="1" s="1"/>
  <c r="AA26" i="1"/>
  <c r="AA27" i="1" s="1"/>
  <c r="Z26" i="1"/>
  <c r="Z27" i="1" s="1"/>
  <c r="Y26" i="1"/>
  <c r="Y27" i="1" s="1"/>
  <c r="X26" i="1"/>
  <c r="X27" i="1" s="1"/>
  <c r="W26" i="1"/>
  <c r="W27" i="1" s="1"/>
  <c r="V26" i="1"/>
  <c r="V27" i="1" s="1"/>
  <c r="U26" i="1"/>
  <c r="U27" i="1" s="1"/>
  <c r="T26" i="1"/>
  <c r="T27" i="1" s="1"/>
  <c r="S26" i="1"/>
  <c r="S27" i="1" s="1"/>
  <c r="R26" i="1"/>
  <c r="R27" i="1" s="1"/>
  <c r="Q26" i="1"/>
  <c r="Q27" i="1" s="1"/>
  <c r="P26" i="1"/>
  <c r="P27" i="1" s="1"/>
  <c r="O26" i="1"/>
  <c r="O27" i="1" s="1"/>
  <c r="N26" i="1"/>
  <c r="N27" i="1" s="1"/>
  <c r="M26" i="1"/>
  <c r="M27" i="1" s="1"/>
  <c r="L26" i="1"/>
  <c r="L27" i="1" s="1"/>
  <c r="K26" i="1"/>
  <c r="K27" i="1" s="1"/>
  <c r="J26" i="1"/>
  <c r="J27" i="1" s="1"/>
  <c r="I26" i="1"/>
  <c r="I27" i="1" s="1"/>
  <c r="H26" i="1"/>
  <c r="H27" i="1" s="1"/>
  <c r="G26" i="1"/>
  <c r="G27" i="1" s="1"/>
  <c r="F26" i="1"/>
  <c r="F27" i="1" s="1"/>
  <c r="E26" i="1"/>
  <c r="E27" i="1" s="1"/>
  <c r="D26" i="1"/>
  <c r="D27" i="1" s="1"/>
  <c r="D14" i="1" a="1"/>
  <c r="D13" i="1"/>
  <c r="B5" i="7" l="1"/>
  <c r="B5" i="6"/>
  <c r="AK8" i="6"/>
  <c r="AK5" i="6"/>
  <c r="B5" i="14"/>
  <c r="AK8" i="13"/>
  <c r="B5" i="11"/>
  <c r="B5" i="12"/>
  <c r="AK8" i="14"/>
  <c r="AK3" i="14"/>
  <c r="AK16" i="14"/>
  <c r="AK5" i="14"/>
  <c r="AK3" i="13"/>
  <c r="B5" i="13"/>
  <c r="AK5" i="13"/>
  <c r="AK8" i="12"/>
  <c r="AK16" i="12"/>
  <c r="AK3" i="12"/>
  <c r="AK5" i="12"/>
  <c r="AK5" i="11"/>
  <c r="AK16" i="11"/>
  <c r="AK3" i="11"/>
  <c r="AK8" i="11"/>
  <c r="AK8" i="10"/>
  <c r="AK3" i="10"/>
  <c r="B5" i="10"/>
  <c r="AK5" i="10"/>
  <c r="AK19" i="6"/>
  <c r="B5" i="9"/>
  <c r="AK8" i="9"/>
  <c r="AK16" i="9"/>
  <c r="AK5" i="9"/>
  <c r="AK3" i="9"/>
  <c r="AK5" i="8"/>
  <c r="AK8" i="8"/>
  <c r="AK3" i="8"/>
  <c r="B5" i="8"/>
  <c r="AK5" i="7"/>
  <c r="AK16" i="7"/>
  <c r="AK8" i="7"/>
  <c r="AK3" i="7"/>
  <c r="AK16" i="6"/>
  <c r="B5" i="5"/>
  <c r="AK3" i="5"/>
  <c r="AK16" i="5"/>
  <c r="AK5" i="5"/>
  <c r="AK8" i="5"/>
  <c r="D14" i="5"/>
  <c r="AK8" i="4"/>
  <c r="AK3" i="4"/>
  <c r="AK5" i="4"/>
  <c r="B5" i="4"/>
  <c r="D14" i="4"/>
  <c r="AK16" i="1"/>
  <c r="AK5" i="1"/>
  <c r="AK8" i="1"/>
  <c r="AK3" i="1"/>
  <c r="D14" i="1"/>
  <c r="AK15" i="1"/>
  <c r="E13" i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B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<sst xmlns="http://schemas.openxmlformats.org/spreadsheetml/2006/main" count="731" uniqueCount="39">
  <si>
    <t>Best Habit</t>
  </si>
  <si>
    <t>Worst Habit</t>
  </si>
  <si>
    <t>Week 2</t>
  </si>
  <si>
    <t>Week 3</t>
  </si>
  <si>
    <t>Daily Exercise</t>
  </si>
  <si>
    <t>Water Plants</t>
  </si>
  <si>
    <t>Tasks Completed</t>
  </si>
  <si>
    <t>% Completed</t>
  </si>
  <si>
    <t xml:space="preserve"> </t>
  </si>
  <si>
    <t>Week 4</t>
  </si>
  <si>
    <t>Mon</t>
  </si>
  <si>
    <t>Tue</t>
  </si>
  <si>
    <t>Wed</t>
  </si>
  <si>
    <t>Thu</t>
  </si>
  <si>
    <t>Fri</t>
  </si>
  <si>
    <t>Sat</t>
  </si>
  <si>
    <t>Sun</t>
  </si>
  <si>
    <t>Week 5</t>
  </si>
  <si>
    <t>Bed Before 11:00 PM</t>
  </si>
  <si>
    <t>Protein Intake: 1× bodyweight (grams)</t>
  </si>
  <si>
    <t>No Junk / Mindless Snacking</t>
  </si>
  <si>
    <t>Call Grand Parents/ Parents/ Friend</t>
  </si>
  <si>
    <t>Work on Personal Goal</t>
  </si>
  <si>
    <t>Read 5 Pages (Any Book)</t>
  </si>
  <si>
    <t>Morning Sunlight (5–10 min)</t>
  </si>
  <si>
    <t>Habit</t>
  </si>
  <si>
    <t>Week1</t>
  </si>
  <si>
    <t>Habit Start Date</t>
  </si>
  <si>
    <t>Finished Days</t>
  </si>
  <si>
    <t>Consistency Score</t>
  </si>
  <si>
    <t>100% Achieved</t>
  </si>
  <si>
    <t>50% Achieved</t>
  </si>
  <si>
    <t>0% Lazy/Rest Days</t>
  </si>
  <si>
    <t>Eat Vegetables/Fruits</t>
  </si>
  <si>
    <t>Mindless Snacking</t>
  </si>
  <si>
    <t xml:space="preserve">    Low Protein Intake</t>
  </si>
  <si>
    <t>Skipping Vegetables</t>
  </si>
  <si>
    <t>Powered By KrishBelief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</si>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</sst>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&quot;Days&quot;"/>
    <numFmt numFmtId="165" formatCode="ddd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sz val="10"/>
      <color rgb="FF00B050"/>
      <name val="Aptos Narrow"/>
      <family val="2"/>
      <scheme val="minor"/>
    </font>
    <font>
      <sz val="12"/>
      <color rgb="FF00B050"/>
      <name val="Playbill"/>
      <family val="5"/>
    </font>
    <font>
      <sz val="12"/>
      <name val="Aptos Narrow"/>
      <family val="2"/>
      <scheme val="minor"/>
    </font>
    <font>
      <b/>
      <sz val="12"/>
      <color rgb="FFFFFFFF"/>
      <name val="Aptos Narrow"/>
      <scheme val="minor"/>
    </font>
    <font>
      <b/>
      <sz val="12"/>
      <color theme="0"/>
      <name val="Aptos Narrow (Body)"/>
    </font>
  </fonts>
  <fills count="15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6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10" borderId="0" xfId="0" applyFill="1" applyAlignment="1">
      <alignment horizontal="center"/>
    </xf>
    <xf numFmtId="0" fontId="4" fillId="7" borderId="0" xfId="0" applyFont="1" applyFill="1" applyAlignment="1" applyProtection="1">
      <alignment horizontal="center"/>
      <protection locked="0"/>
    </xf>
    <xf numFmtId="0" fontId="3" fillId="10" borderId="0" xfId="0" applyFont="1" applyFill="1"/>
    <xf numFmtId="0" fontId="3" fillId="10" borderId="0" xfId="0" applyFont="1" applyFill="1" applyAlignment="1">
      <alignment horizontal="center"/>
    </xf>
    <xf numFmtId="9" fontId="3" fillId="10" borderId="0" xfId="1" applyFont="1" applyFill="1" applyAlignment="1">
      <alignment horizontal="center"/>
    </xf>
    <xf numFmtId="0" fontId="8" fillId="10" borderId="0" xfId="0" applyFont="1" applyFill="1"/>
    <xf numFmtId="0" fontId="8" fillId="10" borderId="0" xfId="0" applyFont="1" applyFill="1" applyAlignment="1">
      <alignment horizontal="center"/>
    </xf>
    <xf numFmtId="0" fontId="0" fillId="10" borderId="0" xfId="0" applyFill="1"/>
    <xf numFmtId="0" fontId="8" fillId="10" borderId="0" xfId="0" applyFont="1" applyFill="1" applyProtection="1">
      <protection locked="0"/>
    </xf>
    <xf numFmtId="0" fontId="8" fillId="10" borderId="0" xfId="0" applyFont="1" applyFill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165" fontId="4" fillId="8" borderId="1" xfId="0" applyNumberFormat="1" applyFont="1" applyFill="1" applyBorder="1" applyAlignment="1" applyProtection="1">
      <alignment horizontal="center"/>
      <protection locked="0"/>
    </xf>
    <xf numFmtId="165" fontId="4" fillId="3" borderId="1" xfId="0" applyNumberFormat="1" applyFont="1" applyFill="1" applyBorder="1" applyAlignment="1" applyProtection="1">
      <alignment horizontal="center"/>
      <protection locked="0"/>
    </xf>
    <xf numFmtId="165" fontId="4" fillId="9" borderId="1" xfId="0" applyNumberFormat="1" applyFont="1" applyFill="1" applyBorder="1" applyAlignment="1" applyProtection="1">
      <alignment horizontal="center"/>
      <protection locked="0"/>
    </xf>
    <xf numFmtId="165" fontId="4" fillId="6" borderId="1" xfId="0" applyNumberFormat="1" applyFont="1" applyFill="1" applyBorder="1" applyAlignment="1" applyProtection="1">
      <alignment horizontal="center"/>
      <protection locked="0"/>
    </xf>
    <xf numFmtId="165" fontId="4" fillId="4" borderId="1" xfId="0" applyNumberFormat="1" applyFont="1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65" fontId="9" fillId="5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Protection="1">
      <protection locked="0"/>
    </xf>
    <xf numFmtId="0" fontId="4" fillId="8" borderId="1" xfId="0" applyFont="1" applyFill="1" applyBorder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9" borderId="1" xfId="0" applyFont="1" applyFill="1" applyBorder="1" applyAlignment="1" applyProtection="1">
      <alignment horizontal="center"/>
      <protection locked="0"/>
    </xf>
    <xf numFmtId="0" fontId="4" fillId="6" borderId="1" xfId="0" applyFont="1" applyFill="1" applyBorder="1" applyAlignment="1" applyProtection="1">
      <alignment horizontal="center"/>
      <protection locked="0"/>
    </xf>
    <xf numFmtId="0" fontId="4" fillId="4" borderId="1" xfId="0" applyFont="1" applyFill="1" applyBorder="1" applyAlignment="1" applyProtection="1">
      <alignment horizontal="center"/>
      <protection locked="0"/>
    </xf>
    <xf numFmtId="0" fontId="9" fillId="5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 applyProtection="1">
      <alignment horizontal="center"/>
      <protection locked="0"/>
    </xf>
    <xf numFmtId="0" fontId="7" fillId="0" borderId="1" xfId="0" applyFont="1" applyBorder="1" applyProtection="1">
      <protection locked="0"/>
    </xf>
    <xf numFmtId="0" fontId="2" fillId="11" borderId="0" xfId="0" applyFont="1" applyFill="1" applyAlignment="1" applyProtection="1">
      <alignment horizontal="center"/>
      <protection locked="0"/>
    </xf>
    <xf numFmtId="0" fontId="2" fillId="7" borderId="0" xfId="0" applyFont="1" applyFill="1" applyAlignment="1" applyProtection="1">
      <alignment horizontal="center"/>
      <protection locked="0"/>
    </xf>
    <xf numFmtId="0" fontId="2" fillId="12" borderId="0" xfId="0" applyFont="1" applyFill="1" applyAlignment="1" applyProtection="1">
      <alignment horizontal="center"/>
      <protection locked="0"/>
    </xf>
    <xf numFmtId="0" fontId="4" fillId="12" borderId="0" xfId="0" applyFont="1" applyFill="1" applyAlignment="1" applyProtection="1">
      <alignment horizontal="center"/>
      <protection locked="0"/>
    </xf>
    <xf numFmtId="0" fontId="4" fillId="11" borderId="0" xfId="0" applyFont="1" applyFill="1" applyAlignment="1" applyProtection="1">
      <alignment horizontal="center"/>
      <protection locked="0"/>
    </xf>
    <xf numFmtId="0" fontId="8" fillId="14" borderId="0" xfId="0" applyFont="1" applyFill="1"/>
    <xf numFmtId="0" fontId="8" fillId="14" borderId="0" xfId="0" applyFont="1" applyFill="1" applyAlignment="1">
      <alignment horizontal="center"/>
    </xf>
    <xf numFmtId="0" fontId="0" fillId="14" borderId="0" xfId="0" applyFill="1"/>
    <xf numFmtId="0" fontId="0" fillId="14" borderId="0" xfId="0" applyFill="1" applyAlignment="1">
      <alignment horizontal="center"/>
    </xf>
    <xf numFmtId="0" fontId="10" fillId="13" borderId="1" xfId="0" applyFont="1" applyFill="1" applyBorder="1" applyAlignment="1" applyProtection="1">
      <alignment horizontal="center" vertical="center"/>
      <protection locked="0"/>
    </xf>
    <xf numFmtId="0" fontId="4" fillId="13" borderId="1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4" fillId="11" borderId="2" xfId="0" applyFont="1" applyFill="1" applyBorder="1" applyAlignment="1" applyProtection="1">
      <alignment horizontal="center" vertical="center"/>
      <protection locked="0"/>
    </xf>
    <xf numFmtId="0" fontId="4" fillId="11" borderId="3" xfId="0" applyFont="1" applyFill="1" applyBorder="1" applyAlignment="1" applyProtection="1">
      <alignment horizontal="center" vertical="center"/>
      <protection locked="0"/>
    </xf>
    <xf numFmtId="0" fontId="4" fillId="11" borderId="4" xfId="0" applyFont="1" applyFill="1" applyBorder="1" applyAlignment="1" applyProtection="1">
      <alignment horizontal="center" vertical="center"/>
      <protection locked="0"/>
    </xf>
    <xf numFmtId="165" fontId="4" fillId="8" borderId="1" xfId="0" applyNumberFormat="1" applyFont="1" applyFill="1" applyBorder="1" applyAlignment="1" applyProtection="1">
      <alignment horizontal="center"/>
      <protection locked="0"/>
    </xf>
    <xf numFmtId="165" fontId="4" fillId="3" borderId="1" xfId="0" applyNumberFormat="1" applyFont="1" applyFill="1" applyBorder="1" applyAlignment="1" applyProtection="1">
      <alignment horizontal="center"/>
      <protection locked="0"/>
    </xf>
    <xf numFmtId="165" fontId="4" fillId="9" borderId="1" xfId="0" applyNumberFormat="1" applyFont="1" applyFill="1" applyBorder="1" applyAlignment="1" applyProtection="1">
      <alignment horizontal="center"/>
      <protection locked="0"/>
    </xf>
    <xf numFmtId="165" fontId="4" fillId="6" borderId="1" xfId="0" applyNumberFormat="1" applyFont="1" applyFill="1" applyBorder="1" applyAlignment="1" applyProtection="1">
      <alignment horizontal="center"/>
      <protection locked="0"/>
    </xf>
    <xf numFmtId="165" fontId="4" fillId="4" borderId="1" xfId="0" applyNumberFormat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GB" sz="1400" b="0" i="0" u="none" strike="noStrike" kern="1200" cap="none" spc="0" normalizeH="0" baseline="0" noProof="0">
                <a:ln>
                  <a:noFill/>
                </a:ln>
                <a:solidFill>
                  <a:schemeClr val="tx1"/>
                </a:solidFill>
                <a:effectLst/>
                <a:uLnTx/>
                <a:uFillTx/>
                <a:latin typeface="Anton" pitchFamily="2" charset="77"/>
              </a:rPr>
              <a:t>Habit Tracker by KrishBelief</a:t>
            </a:r>
          </a:p>
        </c:rich>
      </c:tx>
      <c:overlay val="0"/>
      <c:spPr>
        <a:solidFill>
          <a:schemeClr val="bg1"/>
        </a:solidFill>
        <a:ln w="38100">
          <a:solidFill>
            <a:schemeClr val="accent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53975" cap="rnd">
              <a:solidFill>
                <a:schemeClr val="accent3"/>
              </a:solidFill>
              <a:round/>
            </a:ln>
            <a:effectLst>
              <a:glow>
                <a:schemeClr val="accent1">
                  <a:alpha val="40000"/>
                </a:schemeClr>
              </a:glow>
              <a:outerShdw blurRad="50800" dist="50800" dir="5400000" sx="1000" sy="1000" algn="ctr" rotWithShape="0">
                <a:srgbClr val="000000">
                  <a:alpha val="0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sx="1000" sy="1000" algn="ctr" rotWithShape="0">
                  <a:srgbClr val="000000">
                    <a:alpha val="0"/>
                  </a:srgbClr>
                </a:outerShdw>
              </a:effectLst>
            </c:spPr>
          </c:marker>
          <c:val>
            <c:numRef>
              <c:f>January!$D$27:$AH$27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F5-A442-9AA0-05CB65131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26031"/>
        <c:axId val="178430479"/>
      </c:lineChart>
      <c:catAx>
        <c:axId val="178426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0479"/>
        <c:crosses val="autoZero"/>
        <c:auto val="1"/>
        <c:lblAlgn val="ctr"/>
        <c:lblOffset val="100"/>
        <c:noMultiLvlLbl val="0"/>
      </c:catAx>
      <c:valAx>
        <c:axId val="178430479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GB" sz="1400" b="0" i="0" u="none" strike="noStrike" kern="1200" cap="none" spc="0" normalizeH="0" baseline="0" noProof="0">
                <a:ln>
                  <a:noFill/>
                </a:ln>
                <a:solidFill>
                  <a:schemeClr val="tx1"/>
                </a:solidFill>
                <a:effectLst/>
                <a:uLnTx/>
                <a:uFillTx/>
                <a:latin typeface="Anton" pitchFamily="2" charset="77"/>
              </a:rPr>
              <a:t>Habit Tracker by KrishBelief</a:t>
            </a:r>
          </a:p>
        </c:rich>
      </c:tx>
      <c:overlay val="0"/>
      <c:spPr>
        <a:solidFill>
          <a:schemeClr val="bg1"/>
        </a:solidFill>
        <a:ln w="38100">
          <a:solidFill>
            <a:schemeClr val="accent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53975" cap="rnd">
              <a:solidFill>
                <a:schemeClr val="accent3"/>
              </a:solidFill>
              <a:round/>
            </a:ln>
            <a:effectLst>
              <a:glow>
                <a:schemeClr val="accent1">
                  <a:alpha val="40000"/>
                </a:schemeClr>
              </a:glow>
              <a:outerShdw blurRad="50800" dist="50800" dir="5400000" sx="1000" sy="1000" algn="ctr" rotWithShape="0">
                <a:srgbClr val="000000">
                  <a:alpha val="0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sx="1000" sy="1000" algn="ctr" rotWithShape="0">
                  <a:srgbClr val="000000">
                    <a:alpha val="0"/>
                  </a:srgbClr>
                </a:outerShdw>
              </a:effectLst>
            </c:spPr>
          </c:marker>
          <c:val>
            <c:numRef>
              <c:f>February!$D$27:$AH$27</c:f>
              <c:numCache>
                <c:formatCode>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A243-98F6-B88C5F6D6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26031"/>
        <c:axId val="178430479"/>
      </c:lineChart>
      <c:catAx>
        <c:axId val="178426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0479"/>
        <c:crosses val="autoZero"/>
        <c:auto val="1"/>
        <c:lblAlgn val="ctr"/>
        <c:lblOffset val="100"/>
        <c:noMultiLvlLbl val="0"/>
      </c:catAx>
      <c:valAx>
        <c:axId val="178430479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GB" sz="1400" b="0" i="0" u="none" strike="noStrike" kern="1200" cap="none" spc="0" normalizeH="0" baseline="0" noProof="0">
                <a:ln>
                  <a:noFill/>
                </a:ln>
                <a:solidFill>
                  <a:schemeClr val="tx1"/>
                </a:solidFill>
                <a:effectLst/>
                <a:uLnTx/>
                <a:uFillTx/>
                <a:latin typeface="Anton" pitchFamily="2" charset="77"/>
              </a:rPr>
              <a:t>Habit Tracker by KrishBelief</a:t>
            </a:r>
          </a:p>
        </c:rich>
      </c:tx>
      <c:overlay val="0"/>
      <c:spPr>
        <a:solidFill>
          <a:schemeClr val="bg1"/>
        </a:solidFill>
        <a:ln w="38100">
          <a:solidFill>
            <a:schemeClr val="accent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53975" cap="rnd">
              <a:solidFill>
                <a:schemeClr val="accent3"/>
              </a:solidFill>
              <a:round/>
            </a:ln>
            <a:effectLst>
              <a:glow>
                <a:schemeClr val="accent1">
                  <a:alpha val="40000"/>
                </a:schemeClr>
              </a:glow>
              <a:outerShdw blurRad="50800" dist="50800" dir="5400000" sx="1000" sy="1000" algn="ctr" rotWithShape="0">
                <a:srgbClr val="000000">
                  <a:alpha val="0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sx="1000" sy="1000" algn="ctr" rotWithShape="0">
                  <a:srgbClr val="000000">
                    <a:alpha val="0"/>
                  </a:srgbClr>
                </a:outerShdw>
              </a:effectLst>
            </c:spPr>
          </c:marker>
          <c:val>
            <c:numRef>
              <c:f>March!$D$27:$AH$27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62-B14F-94B4-FB4558E3C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26031"/>
        <c:axId val="178430479"/>
      </c:lineChart>
      <c:catAx>
        <c:axId val="178426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0479"/>
        <c:crosses val="autoZero"/>
        <c:auto val="1"/>
        <c:lblAlgn val="ctr"/>
        <c:lblOffset val="100"/>
        <c:noMultiLvlLbl val="0"/>
      </c:catAx>
      <c:valAx>
        <c:axId val="178430479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603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GB" sz="1400" b="0" i="0" u="none" strike="noStrike" kern="1200" cap="none" spc="0" normalizeH="0" baseline="0" noProof="0">
                <a:ln>
                  <a:noFill/>
                </a:ln>
                <a:solidFill>
                  <a:schemeClr val="tx1"/>
                </a:solidFill>
                <a:effectLst/>
                <a:uLnTx/>
                <a:uFillTx/>
                <a:latin typeface="Anton" pitchFamily="2" charset="77"/>
              </a:rPr>
              <a:t>Habit Tracker by KrishBelief</a:t>
            </a:r>
          </a:p>
        </c:rich>
      </c:tx>
      <c:overlay val="0"/>
      <c:spPr>
        <a:solidFill>
          <a:schemeClr val="bg1"/>
        </a:solidFill>
        <a:ln w="38100">
          <a:solidFill>
            <a:schemeClr val="accent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53975" cap="rnd">
              <a:solidFill>
                <a:schemeClr val="accent3"/>
              </a:solidFill>
              <a:round/>
            </a:ln>
            <a:effectLst>
              <a:glow>
                <a:schemeClr val="accent1">
                  <a:alpha val="40000"/>
                </a:schemeClr>
              </a:glow>
              <a:outerShdw blurRad="50800" dist="50800" dir="5400000" sx="1000" sy="1000" algn="ctr" rotWithShape="0">
                <a:srgbClr val="000000">
                  <a:alpha val="0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sx="1000" sy="1000" algn="ctr" rotWithShape="0">
                  <a:srgbClr val="000000">
                    <a:alpha val="0"/>
                  </a:srgbClr>
                </a:outerShdw>
              </a:effectLst>
            </c:spPr>
          </c:marker>
          <c:val>
            <c:numRef>
              <c:f>April!$D$27:$AG$27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4A-9941-9999-D636D8EA7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26031"/>
        <c:axId val="178430479"/>
      </c:lineChart>
      <c:catAx>
        <c:axId val="178426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0479"/>
        <c:crosses val="autoZero"/>
        <c:auto val="1"/>
        <c:lblAlgn val="ctr"/>
        <c:lblOffset val="100"/>
        <c:noMultiLvlLbl val="0"/>
      </c:catAx>
      <c:valAx>
        <c:axId val="178430479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GB" sz="1400" b="0" i="0" u="none" strike="noStrike" kern="1200" cap="none" spc="0" normalizeH="0" baseline="0" noProof="0">
                <a:ln>
                  <a:noFill/>
                </a:ln>
                <a:solidFill>
                  <a:schemeClr val="tx1"/>
                </a:solidFill>
                <a:effectLst/>
                <a:uLnTx/>
                <a:uFillTx/>
                <a:latin typeface="Anton" pitchFamily="2" charset="77"/>
              </a:rPr>
              <a:t>Habit Tracker by KrishBelief</a:t>
            </a:r>
          </a:p>
        </c:rich>
      </c:tx>
      <c:overlay val="0"/>
      <c:spPr>
        <a:solidFill>
          <a:schemeClr val="bg1"/>
        </a:solidFill>
        <a:ln w="38100">
          <a:solidFill>
            <a:schemeClr val="accent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53975" cap="rnd">
              <a:solidFill>
                <a:schemeClr val="accent3"/>
              </a:solidFill>
              <a:round/>
            </a:ln>
            <a:effectLst>
              <a:glow>
                <a:schemeClr val="accent1">
                  <a:alpha val="40000"/>
                </a:schemeClr>
              </a:glow>
              <a:outerShdw blurRad="50800" dist="50800" dir="5400000" sx="1000" sy="1000" algn="ctr" rotWithShape="0">
                <a:srgbClr val="000000">
                  <a:alpha val="0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sx="1000" sy="1000" algn="ctr" rotWithShape="0">
                  <a:srgbClr val="000000">
                    <a:alpha val="0"/>
                  </a:srgbClr>
                </a:outerShdw>
              </a:effectLst>
            </c:spPr>
          </c:marker>
          <c:val>
            <c:numRef>
              <c:f>May!$D$27:$AH$27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C0-2147-8F0A-4325AE9CD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26031"/>
        <c:axId val="178430479"/>
      </c:lineChart>
      <c:catAx>
        <c:axId val="178426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0479"/>
        <c:crosses val="autoZero"/>
        <c:auto val="1"/>
        <c:lblAlgn val="ctr"/>
        <c:lblOffset val="100"/>
        <c:noMultiLvlLbl val="0"/>
      </c:catAx>
      <c:valAx>
        <c:axId val="178430479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GB" sz="1400" b="0" i="0" u="none" strike="noStrike" kern="1200" cap="none" spc="0" normalizeH="0" baseline="0" noProof="0">
                <a:ln>
                  <a:noFill/>
                </a:ln>
                <a:solidFill>
                  <a:schemeClr val="tx1"/>
                </a:solidFill>
                <a:effectLst/>
                <a:uLnTx/>
                <a:uFillTx/>
                <a:latin typeface="Anton" pitchFamily="2" charset="77"/>
              </a:rPr>
              <a:t>Habit Tracker by KrishBelief</a:t>
            </a:r>
          </a:p>
        </c:rich>
      </c:tx>
      <c:overlay val="0"/>
      <c:spPr>
        <a:solidFill>
          <a:schemeClr val="bg1"/>
        </a:solidFill>
        <a:ln w="38100">
          <a:solidFill>
            <a:schemeClr val="accent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53975" cap="rnd">
              <a:solidFill>
                <a:schemeClr val="accent3"/>
              </a:solidFill>
              <a:round/>
            </a:ln>
            <a:effectLst>
              <a:glow>
                <a:schemeClr val="accent1">
                  <a:alpha val="40000"/>
                </a:schemeClr>
              </a:glow>
              <a:outerShdw blurRad="50800" dist="50800" dir="5400000" sx="1000" sy="1000" algn="ctr" rotWithShape="0">
                <a:srgbClr val="000000">
                  <a:alpha val="0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sx="1000" sy="1000" algn="ctr" rotWithShape="0">
                  <a:srgbClr val="000000">
                    <a:alpha val="0"/>
                  </a:srgbClr>
                </a:outerShdw>
              </a:effectLst>
            </c:spPr>
          </c:marker>
          <c:val>
            <c:numRef>
              <c:f>June!$D$27:$AG$27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EF-E142-B8D3-9653FEE5C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26031"/>
        <c:axId val="178430479"/>
      </c:lineChart>
      <c:catAx>
        <c:axId val="178426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0479"/>
        <c:crosses val="autoZero"/>
        <c:auto val="1"/>
        <c:lblAlgn val="ctr"/>
        <c:lblOffset val="100"/>
        <c:noMultiLvlLbl val="0"/>
      </c:catAx>
      <c:valAx>
        <c:axId val="178430479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GB" sz="1400" b="0" i="0" u="none" strike="noStrike" kern="1200" cap="none" spc="0" normalizeH="0" baseline="0" noProof="0">
                <a:ln>
                  <a:noFill/>
                </a:ln>
                <a:solidFill>
                  <a:schemeClr val="tx1"/>
                </a:solidFill>
                <a:effectLst/>
                <a:uLnTx/>
                <a:uFillTx/>
                <a:latin typeface="Anton" pitchFamily="2" charset="77"/>
              </a:rPr>
              <a:t>Habit Tracker by KrishBelief</a:t>
            </a:r>
          </a:p>
        </c:rich>
      </c:tx>
      <c:overlay val="0"/>
      <c:spPr>
        <a:solidFill>
          <a:schemeClr val="bg1"/>
        </a:solidFill>
        <a:ln w="38100">
          <a:solidFill>
            <a:schemeClr val="accent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53975" cap="rnd">
              <a:solidFill>
                <a:schemeClr val="accent3"/>
              </a:solidFill>
              <a:round/>
            </a:ln>
            <a:effectLst>
              <a:glow>
                <a:schemeClr val="accent1">
                  <a:alpha val="40000"/>
                </a:schemeClr>
              </a:glow>
              <a:outerShdw blurRad="50800" dist="50800" dir="5400000" sx="1000" sy="1000" algn="ctr" rotWithShape="0">
                <a:srgbClr val="000000">
                  <a:alpha val="0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sx="1000" sy="1000" algn="ctr" rotWithShape="0">
                  <a:srgbClr val="000000">
                    <a:alpha val="0"/>
                  </a:srgbClr>
                </a:outerShdw>
              </a:effectLst>
            </c:spPr>
          </c:marker>
          <c:val>
            <c:numRef>
              <c:f>July!$D$27:$AH$27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DB-7741-BFD0-ED0F19728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26031"/>
        <c:axId val="178430479"/>
      </c:lineChart>
      <c:catAx>
        <c:axId val="178426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0479"/>
        <c:crosses val="autoZero"/>
        <c:auto val="1"/>
        <c:lblAlgn val="ctr"/>
        <c:lblOffset val="100"/>
        <c:noMultiLvlLbl val="0"/>
      </c:catAx>
      <c:valAx>
        <c:axId val="178430479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GB" sz="1400" b="0" i="0" u="none" strike="noStrike" kern="1200" cap="none" spc="0" normalizeH="0" baseline="0" noProof="0">
                <a:ln>
                  <a:noFill/>
                </a:ln>
                <a:solidFill>
                  <a:schemeClr val="tx1"/>
                </a:solidFill>
                <a:effectLst/>
                <a:uLnTx/>
                <a:uFillTx/>
                <a:latin typeface="Anton" pitchFamily="2" charset="77"/>
              </a:rPr>
              <a:t>Habit Tracker by KrishBelief</a:t>
            </a:r>
          </a:p>
        </c:rich>
      </c:tx>
      <c:overlay val="0"/>
      <c:spPr>
        <a:solidFill>
          <a:schemeClr val="bg1"/>
        </a:solidFill>
        <a:ln w="38100">
          <a:solidFill>
            <a:schemeClr val="accent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53975" cap="rnd">
              <a:solidFill>
                <a:schemeClr val="accent3"/>
              </a:solidFill>
              <a:round/>
            </a:ln>
            <a:effectLst>
              <a:glow>
                <a:schemeClr val="accent1">
                  <a:alpha val="40000"/>
                </a:schemeClr>
              </a:glow>
              <a:outerShdw blurRad="50800" dist="50800" dir="5400000" sx="1000" sy="1000" algn="ctr" rotWithShape="0">
                <a:srgbClr val="000000">
                  <a:alpha val="0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sx="1000" sy="1000" algn="ctr" rotWithShape="0">
                  <a:srgbClr val="000000">
                    <a:alpha val="0"/>
                  </a:srgbClr>
                </a:outerShdw>
              </a:effectLst>
            </c:spPr>
          </c:marker>
          <c:val>
            <c:numRef>
              <c:f>August!$D$27:$AH$27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D0-7346-9CFF-D673661E0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26031"/>
        <c:axId val="178430479"/>
      </c:lineChart>
      <c:catAx>
        <c:axId val="178426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0479"/>
        <c:crosses val="autoZero"/>
        <c:auto val="1"/>
        <c:lblAlgn val="ctr"/>
        <c:lblOffset val="100"/>
        <c:noMultiLvlLbl val="0"/>
      </c:catAx>
      <c:valAx>
        <c:axId val="178430479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GB" sz="1400" b="0" i="0" u="none" strike="noStrike" kern="1200" cap="none" spc="0" normalizeH="0" baseline="0" noProof="0">
                <a:ln>
                  <a:noFill/>
                </a:ln>
                <a:solidFill>
                  <a:schemeClr val="tx1"/>
                </a:solidFill>
                <a:effectLst/>
                <a:uLnTx/>
                <a:uFillTx/>
                <a:latin typeface="Anton" pitchFamily="2" charset="77"/>
              </a:rPr>
              <a:t>Habit Tracker by KrishBelief</a:t>
            </a:r>
          </a:p>
        </c:rich>
      </c:tx>
      <c:overlay val="0"/>
      <c:spPr>
        <a:solidFill>
          <a:schemeClr val="bg1"/>
        </a:solidFill>
        <a:ln w="38100">
          <a:solidFill>
            <a:schemeClr val="accent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53975" cap="rnd">
              <a:solidFill>
                <a:schemeClr val="accent3"/>
              </a:solidFill>
              <a:round/>
            </a:ln>
            <a:effectLst>
              <a:glow>
                <a:schemeClr val="accent1">
                  <a:alpha val="40000"/>
                </a:schemeClr>
              </a:glow>
              <a:outerShdw blurRad="50800" dist="50800" dir="5400000" sx="1000" sy="1000" algn="ctr" rotWithShape="0">
                <a:srgbClr val="000000">
                  <a:alpha val="0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sx="1000" sy="1000" algn="ctr" rotWithShape="0">
                  <a:srgbClr val="000000">
                    <a:alpha val="0"/>
                  </a:srgbClr>
                </a:outerShdw>
              </a:effectLst>
            </c:spPr>
          </c:marker>
          <c:val>
            <c:numRef>
              <c:f>September!$D$27:$AG$27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99-624C-9252-A1E4CFE8B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26031"/>
        <c:axId val="178430479"/>
      </c:lineChart>
      <c:catAx>
        <c:axId val="178426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0479"/>
        <c:crosses val="autoZero"/>
        <c:auto val="1"/>
        <c:lblAlgn val="ctr"/>
        <c:lblOffset val="100"/>
        <c:noMultiLvlLbl val="0"/>
      </c:catAx>
      <c:valAx>
        <c:axId val="178430479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GB" sz="1400" b="0" i="0" u="none" strike="noStrike" kern="1200" cap="none" spc="0" normalizeH="0" baseline="0" noProof="0">
                <a:ln>
                  <a:noFill/>
                </a:ln>
                <a:solidFill>
                  <a:schemeClr val="tx1"/>
                </a:solidFill>
                <a:effectLst/>
                <a:uLnTx/>
                <a:uFillTx/>
                <a:latin typeface="Anton" pitchFamily="2" charset="77"/>
              </a:rPr>
              <a:t>Habit Tracker by KrishBelief</a:t>
            </a:r>
          </a:p>
        </c:rich>
      </c:tx>
      <c:overlay val="0"/>
      <c:spPr>
        <a:solidFill>
          <a:schemeClr val="bg1"/>
        </a:solidFill>
        <a:ln w="38100">
          <a:solidFill>
            <a:schemeClr val="accent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53975" cap="rnd">
              <a:solidFill>
                <a:schemeClr val="accent3"/>
              </a:solidFill>
              <a:round/>
            </a:ln>
            <a:effectLst>
              <a:glow>
                <a:schemeClr val="accent1">
                  <a:alpha val="40000"/>
                </a:schemeClr>
              </a:glow>
              <a:outerShdw blurRad="50800" dist="50800" dir="5400000" sx="1000" sy="1000" algn="ctr" rotWithShape="0">
                <a:srgbClr val="000000">
                  <a:alpha val="0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sx="1000" sy="1000" algn="ctr" rotWithShape="0">
                  <a:srgbClr val="000000">
                    <a:alpha val="0"/>
                  </a:srgbClr>
                </a:outerShdw>
              </a:effectLst>
            </c:spPr>
          </c:marker>
          <c:val>
            <c:numRef>
              <c:f>October!$D$27:$AH$27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8D-C949-9B0F-F24D6DA31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26031"/>
        <c:axId val="178430479"/>
      </c:lineChart>
      <c:catAx>
        <c:axId val="178426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0479"/>
        <c:crosses val="autoZero"/>
        <c:auto val="1"/>
        <c:lblAlgn val="ctr"/>
        <c:lblOffset val="100"/>
        <c:noMultiLvlLbl val="0"/>
      </c:catAx>
      <c:valAx>
        <c:axId val="178430479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GB" sz="1400" b="0" i="0" u="none" strike="noStrike" kern="1200" cap="none" spc="0" normalizeH="0" baseline="0" noProof="0">
                <a:ln>
                  <a:noFill/>
                </a:ln>
                <a:solidFill>
                  <a:schemeClr val="tx1"/>
                </a:solidFill>
                <a:effectLst/>
                <a:uLnTx/>
                <a:uFillTx/>
                <a:latin typeface="Anton" pitchFamily="2" charset="77"/>
              </a:rPr>
              <a:t>Habit Tracker by KrishBelief</a:t>
            </a:r>
          </a:p>
        </c:rich>
      </c:tx>
      <c:overlay val="0"/>
      <c:spPr>
        <a:solidFill>
          <a:schemeClr val="bg1"/>
        </a:solidFill>
        <a:ln w="38100">
          <a:solidFill>
            <a:schemeClr val="accent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53975" cap="rnd">
              <a:solidFill>
                <a:schemeClr val="accent3"/>
              </a:solidFill>
              <a:round/>
            </a:ln>
            <a:effectLst>
              <a:glow>
                <a:schemeClr val="accent1">
                  <a:alpha val="40000"/>
                </a:schemeClr>
              </a:glow>
              <a:outerShdw blurRad="50800" dist="50800" dir="5400000" sx="1000" sy="1000" algn="ctr" rotWithShape="0">
                <a:srgbClr val="000000">
                  <a:alpha val="0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sx="1000" sy="1000" algn="ctr" rotWithShape="0">
                  <a:srgbClr val="000000">
                    <a:alpha val="0"/>
                  </a:srgbClr>
                </a:outerShdw>
              </a:effectLst>
            </c:spPr>
          </c:marker>
          <c:val>
            <c:numRef>
              <c:f>November!$D$27:$AG$27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F5-BF44-9C19-A797D109E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26031"/>
        <c:axId val="178430479"/>
      </c:lineChart>
      <c:catAx>
        <c:axId val="178426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0479"/>
        <c:crosses val="autoZero"/>
        <c:auto val="1"/>
        <c:lblAlgn val="ctr"/>
        <c:lblOffset val="100"/>
        <c:noMultiLvlLbl val="0"/>
      </c:catAx>
      <c:valAx>
        <c:axId val="178430479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GB" sz="1400" b="0" i="0" u="none" strike="noStrike" kern="1200" cap="none" spc="0" normalizeH="0" baseline="0" noProof="0">
                <a:ln>
                  <a:noFill/>
                </a:ln>
                <a:solidFill>
                  <a:schemeClr val="tx1"/>
                </a:solidFill>
                <a:effectLst/>
                <a:uLnTx/>
                <a:uFillTx/>
                <a:latin typeface="Anton" pitchFamily="2" charset="77"/>
              </a:rPr>
              <a:t>Habit Tracker by KrishBelief</a:t>
            </a:r>
          </a:p>
        </c:rich>
      </c:tx>
      <c:overlay val="0"/>
      <c:spPr>
        <a:solidFill>
          <a:schemeClr val="bg1"/>
        </a:solidFill>
        <a:ln w="38100">
          <a:solidFill>
            <a:schemeClr val="accent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53975" cap="rnd">
              <a:solidFill>
                <a:schemeClr val="accent3"/>
              </a:solidFill>
              <a:round/>
            </a:ln>
            <a:effectLst>
              <a:glow>
                <a:schemeClr val="accent1">
                  <a:alpha val="40000"/>
                </a:schemeClr>
              </a:glow>
              <a:outerShdw blurRad="50800" dist="50800" dir="5400000" sx="1000" sy="1000" algn="ctr" rotWithShape="0">
                <a:srgbClr val="000000">
                  <a:alpha val="0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sx="1000" sy="1000" algn="ctr" rotWithShape="0">
                  <a:srgbClr val="000000">
                    <a:alpha val="0"/>
                  </a:srgbClr>
                </a:outerShdw>
              </a:effectLst>
            </c:spPr>
          </c:marker>
          <c:val>
            <c:numRef>
              <c:f>December!$D$27:$AH$27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54-474C-A9B6-5F4E4B8BF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26031"/>
        <c:axId val="178430479"/>
      </c:lineChart>
      <c:catAx>
        <c:axId val="178426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0479"/>
        <c:crosses val="autoZero"/>
        <c:auto val="1"/>
        <c:lblAlgn val="ctr"/>
        <c:lblOffset val="100"/>
        <c:noMultiLvlLbl val="0"/>
      </c:catAx>
      <c:valAx>
        <c:axId val="178430479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2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1905000</xdr:colOff>
      <xdr:row>0</xdr:row>
      <xdr:rowOff>18144</xdr:rowOff>
    </xdr:from>
    <xdr:to>
      <xdr:col>34</xdr:col>
      <xdr:colOff>0</xdr:colOff>
      <xdr:row>10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AC44DC-5618-263C-9604-5CBB9321B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1905000</xdr:colOff>
      <xdr:row>0</xdr:row>
      <xdr:rowOff>76200</xdr:rowOff>
    </xdr:from>
    <xdr:to>
      <xdr:col>30</xdr:col>
      <xdr:colOff>469900</xdr:colOff>
      <xdr:row>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E22E3B-7BE9-E444-A37D-0A986B2CA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1905000</xdr:colOff>
      <xdr:row>0</xdr:row>
      <xdr:rowOff>18144</xdr:rowOff>
    </xdr:from>
    <xdr:to>
      <xdr:col>34</xdr:col>
      <xdr:colOff>0</xdr:colOff>
      <xdr:row>10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C4E888-8354-5F44-A878-3A8724E9C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1905000</xdr:colOff>
      <xdr:row>0</xdr:row>
      <xdr:rowOff>18144</xdr:rowOff>
    </xdr:from>
    <xdr:to>
      <xdr:col>34</xdr:col>
      <xdr:colOff>0</xdr:colOff>
      <xdr:row>10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89B0D-8ADB-AA4C-A913-B3A32AB50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1905000</xdr:colOff>
      <xdr:row>0</xdr:row>
      <xdr:rowOff>18144</xdr:rowOff>
    </xdr:from>
    <xdr:to>
      <xdr:col>34</xdr:col>
      <xdr:colOff>0</xdr:colOff>
      <xdr:row>10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AF7A8C-C560-5E44-BFCF-F2C858161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1905000</xdr:colOff>
      <xdr:row>0</xdr:row>
      <xdr:rowOff>18144</xdr:rowOff>
    </xdr:from>
    <xdr:to>
      <xdr:col>34</xdr:col>
      <xdr:colOff>0</xdr:colOff>
      <xdr:row>10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830464-3219-AA43-8FA7-CCD4DF3C0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1905000</xdr:colOff>
      <xdr:row>0</xdr:row>
      <xdr:rowOff>18144</xdr:rowOff>
    </xdr:from>
    <xdr:to>
      <xdr:col>34</xdr:col>
      <xdr:colOff>0</xdr:colOff>
      <xdr:row>10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136AA8-FB2A-DB4B-9C92-5236159BD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1905000</xdr:colOff>
      <xdr:row>0</xdr:row>
      <xdr:rowOff>18144</xdr:rowOff>
    </xdr:from>
    <xdr:to>
      <xdr:col>34</xdr:col>
      <xdr:colOff>0</xdr:colOff>
      <xdr:row>10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5F3575-F12D-0C44-BF85-AB1526624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1905000</xdr:colOff>
      <xdr:row>0</xdr:row>
      <xdr:rowOff>18144</xdr:rowOff>
    </xdr:from>
    <xdr:to>
      <xdr:col>34</xdr:col>
      <xdr:colOff>0</xdr:colOff>
      <xdr:row>10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737B59-4FB3-E146-B72C-B7D2282F2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1905000</xdr:colOff>
      <xdr:row>0</xdr:row>
      <xdr:rowOff>18144</xdr:rowOff>
    </xdr:from>
    <xdr:to>
      <xdr:col>34</xdr:col>
      <xdr:colOff>0</xdr:colOff>
      <xdr:row>10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3D6E30-66B9-724D-9204-B440C7A1A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1905000</xdr:colOff>
      <xdr:row>0</xdr:row>
      <xdr:rowOff>18144</xdr:rowOff>
    </xdr:from>
    <xdr:to>
      <xdr:col>34</xdr:col>
      <xdr:colOff>0</xdr:colOff>
      <xdr:row>10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88C664-2E09-C14E-8883-E978D60BD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1905000</xdr:colOff>
      <xdr:row>0</xdr:row>
      <xdr:rowOff>18144</xdr:rowOff>
    </xdr:from>
    <xdr:to>
      <xdr:col>34</xdr:col>
      <xdr:colOff>0</xdr:colOff>
      <xdr:row>10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8DDA2D-B7A2-4D4C-9F79-78134FF8B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25D3-6D80-3F4E-8246-BC5B70F2904E}">
  <dimension ref="A1:XFC29"/>
  <sheetViews>
    <sheetView topLeftCell="B1" zoomScale="110" zoomScaleNormal="110" workbookViewId="0">
      <pane xSplit="2" topLeftCell="D1" activePane="topRight" state="frozen"/>
      <selection activeCell="B1" sqref="B1"/>
      <selection pane="topRight" activeCell="L26" sqref="L26"/>
    </sheetView>
  </sheetViews>
  <sheetFormatPr baseColWidth="10" defaultColWidth="0" defaultRowHeight="16" zeroHeight="1" x14ac:dyDescent="0.2"/>
  <cols>
    <col min="1" max="1" width="11.1640625" hidden="1" customWidth="1"/>
    <col min="2" max="2" width="31" customWidth="1"/>
    <col min="3" max="3" width="0.1640625" hidden="1" customWidth="1"/>
    <col min="4" max="4" width="4.83203125" customWidth="1"/>
    <col min="5" max="5" width="3.6640625" style="1" customWidth="1"/>
    <col min="6" max="6" width="4.6640625" style="1" customWidth="1"/>
    <col min="7" max="7" width="4.1640625" style="1" customWidth="1"/>
    <col min="8" max="8" width="5.1640625" style="1" customWidth="1"/>
    <col min="9" max="9" width="5.5" style="1" customWidth="1"/>
    <col min="10" max="11" width="6.1640625" style="1" customWidth="1"/>
    <col min="12" max="12" width="6.33203125" style="1" customWidth="1"/>
    <col min="13" max="17" width="6.1640625" style="1" customWidth="1"/>
    <col min="18" max="18" width="5" style="1" customWidth="1"/>
    <col min="19" max="19" width="6.1640625" style="1" customWidth="1"/>
    <col min="20" max="20" width="6.5" style="1" customWidth="1"/>
    <col min="21" max="22" width="6.1640625" style="1" customWidth="1"/>
    <col min="23" max="24" width="5.83203125" style="1" customWidth="1"/>
    <col min="25" max="25" width="8" style="1" customWidth="1"/>
    <col min="26" max="26" width="5.83203125" customWidth="1"/>
    <col min="27" max="27" width="6.83203125" customWidth="1"/>
    <col min="28" max="28" width="5.6640625" customWidth="1"/>
    <col min="29" max="29" width="6" customWidth="1"/>
    <col min="30" max="30" width="7.33203125" customWidth="1"/>
    <col min="31" max="31" width="6.83203125" customWidth="1"/>
    <col min="32" max="32" width="7.1640625" customWidth="1"/>
    <col min="33" max="33" width="7.6640625" customWidth="1"/>
    <col min="34" max="34" width="8" customWidth="1"/>
    <col min="35" max="35" width="11.33203125" hidden="1" customWidth="1"/>
    <col min="36" max="36" width="16.33203125" customWidth="1"/>
    <col min="37" max="37" width="20.5" customWidth="1"/>
    <col min="38" max="38" width="11.1640625" hidden="1" customWidth="1"/>
    <col min="39" max="16377" width="11.1640625" hidden="1"/>
    <col min="16378" max="16378" width="14" hidden="1"/>
    <col min="16379" max="16379" width="14.5" hidden="1"/>
    <col min="16380" max="16382" width="0.1640625" hidden="1"/>
    <col min="16383" max="16383" width="20" hidden="1"/>
    <col min="16384" max="16384" width="31.1640625" hidden="1"/>
  </cols>
  <sheetData>
    <row r="1" spans="2:37" x14ac:dyDescent="0.2"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2:37" x14ac:dyDescent="0.2">
      <c r="B2" s="9" t="s">
        <v>27</v>
      </c>
      <c r="C2" s="5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3"/>
      <c r="AA2" s="3"/>
      <c r="AB2" s="3"/>
      <c r="AC2" s="3"/>
      <c r="AD2" s="3"/>
      <c r="AE2" s="3"/>
      <c r="AF2" s="3"/>
      <c r="AG2" s="3"/>
      <c r="AH2" s="3"/>
      <c r="AI2" s="3"/>
      <c r="AJ2" s="4"/>
      <c r="AK2" s="36" t="s">
        <v>30</v>
      </c>
    </row>
    <row r="3" spans="2:37" x14ac:dyDescent="0.2">
      <c r="B3" s="6">
        <v>46023</v>
      </c>
      <c r="C3" s="6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4"/>
      <c r="AK3" s="7">
        <f>COUNTIF(D27:AH27,"100%")</f>
        <v>0</v>
      </c>
    </row>
    <row r="4" spans="2:37" x14ac:dyDescent="0.2">
      <c r="B4" s="40" t="s">
        <v>0</v>
      </c>
      <c r="C4" s="5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3"/>
      <c r="AA4" s="3"/>
      <c r="AB4" s="3"/>
      <c r="AC4" s="3"/>
      <c r="AD4" s="3"/>
      <c r="AE4" s="3"/>
      <c r="AF4" s="3"/>
      <c r="AG4" s="3"/>
      <c r="AH4" s="3"/>
      <c r="AI4" s="3"/>
      <c r="AJ4" s="4"/>
      <c r="AK4" s="37" t="s">
        <v>31</v>
      </c>
    </row>
    <row r="5" spans="2:37" x14ac:dyDescent="0.2">
      <c r="B5" s="4" t="str">
        <f>_xlfn.XLOOKUP(MAX(AJ15:AJ24),AJ15:AJ24,B15:B24)</f>
        <v>Daily Exercise</v>
      </c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3"/>
      <c r="AA5" s="3"/>
      <c r="AB5" s="3"/>
      <c r="AC5" s="3"/>
      <c r="AD5" s="3"/>
      <c r="AE5" s="3"/>
      <c r="AF5" s="3"/>
      <c r="AG5" s="3"/>
      <c r="AH5" s="3"/>
      <c r="AI5" s="3"/>
      <c r="AJ5" s="4"/>
      <c r="AK5" s="7">
        <f>COUNTIF(D27:AH27,"&gt;50%")</f>
        <v>0</v>
      </c>
    </row>
    <row r="6" spans="2:37" x14ac:dyDescent="0.2">
      <c r="B6" s="4" t="s">
        <v>22</v>
      </c>
      <c r="C6" s="4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3"/>
      <c r="AA6" s="3"/>
      <c r="AB6" s="3"/>
      <c r="AC6" s="3"/>
      <c r="AD6" s="3"/>
      <c r="AE6" s="3"/>
      <c r="AF6" s="3"/>
      <c r="AG6" s="3"/>
      <c r="AH6" s="3"/>
      <c r="AI6" s="3"/>
      <c r="AJ6" s="4"/>
      <c r="AK6" s="3"/>
    </row>
    <row r="7" spans="2:37" x14ac:dyDescent="0.2">
      <c r="B7" s="39" t="s">
        <v>1</v>
      </c>
      <c r="C7" s="5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4"/>
      <c r="AK7" s="38" t="s">
        <v>32</v>
      </c>
    </row>
    <row r="8" spans="2:37" x14ac:dyDescent="0.2">
      <c r="B8" s="4" t="s">
        <v>34</v>
      </c>
      <c r="C8" s="4"/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3"/>
      <c r="AA8" s="3"/>
      <c r="AB8" s="3"/>
      <c r="AC8" s="3"/>
      <c r="AD8" s="3"/>
      <c r="AE8" s="3"/>
      <c r="AF8" s="3"/>
      <c r="AG8" s="3"/>
      <c r="AH8" s="3"/>
      <c r="AI8" s="3"/>
      <c r="AJ8" s="4"/>
      <c r="AK8" s="7">
        <f>COUNTIF(D27:AH27,"0%")</f>
        <v>31</v>
      </c>
    </row>
    <row r="9" spans="2:37" x14ac:dyDescent="0.2">
      <c r="B9" s="4" t="s">
        <v>35</v>
      </c>
      <c r="C9" s="4"/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3"/>
      <c r="AA9" s="3"/>
      <c r="AB9" s="3"/>
      <c r="AC9" s="3"/>
      <c r="AD9" s="3"/>
      <c r="AE9" s="3"/>
      <c r="AF9" s="3"/>
      <c r="AG9" s="3"/>
      <c r="AH9" s="3"/>
      <c r="AI9" s="3"/>
      <c r="AJ9" s="4"/>
      <c r="AK9" s="7"/>
    </row>
    <row r="10" spans="2:37" x14ac:dyDescent="0.2">
      <c r="B10" s="4" t="s">
        <v>36</v>
      </c>
      <c r="C10" s="4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4"/>
      <c r="AK10" s="7"/>
    </row>
    <row r="11" spans="2:37" x14ac:dyDescent="0.2">
      <c r="B11" s="4"/>
      <c r="C11" s="4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4"/>
      <c r="AK11" s="7"/>
    </row>
    <row r="12" spans="2:37" ht="16" customHeight="1" x14ac:dyDescent="0.2">
      <c r="B12" s="45" t="s">
        <v>25</v>
      </c>
      <c r="C12" s="18"/>
      <c r="D12" s="53" t="s">
        <v>26</v>
      </c>
      <c r="E12" s="53"/>
      <c r="F12" s="53"/>
      <c r="G12" s="53"/>
      <c r="H12" s="53"/>
      <c r="I12" s="53"/>
      <c r="J12" s="53"/>
      <c r="K12" s="54" t="s">
        <v>2</v>
      </c>
      <c r="L12" s="54"/>
      <c r="M12" s="54"/>
      <c r="N12" s="54"/>
      <c r="O12" s="54"/>
      <c r="P12" s="54"/>
      <c r="Q12" s="54"/>
      <c r="R12" s="55" t="s">
        <v>3</v>
      </c>
      <c r="S12" s="55"/>
      <c r="T12" s="55"/>
      <c r="U12" s="55"/>
      <c r="V12" s="55"/>
      <c r="W12" s="55"/>
      <c r="X12" s="55"/>
      <c r="Y12" s="56" t="s">
        <v>9</v>
      </c>
      <c r="Z12" s="56"/>
      <c r="AA12" s="56"/>
      <c r="AB12" s="56"/>
      <c r="AC12" s="56"/>
      <c r="AD12" s="56"/>
      <c r="AE12" s="56"/>
      <c r="AF12" s="57" t="s">
        <v>17</v>
      </c>
      <c r="AG12" s="57"/>
      <c r="AH12" s="57"/>
      <c r="AI12" s="24"/>
      <c r="AJ12" s="47" t="s">
        <v>28</v>
      </c>
      <c r="AK12" s="50" t="s">
        <v>29</v>
      </c>
    </row>
    <row r="13" spans="2:37" s="2" customFormat="1" x14ac:dyDescent="0.2">
      <c r="B13" s="46"/>
      <c r="C13" s="18"/>
      <c r="D13" s="19">
        <f>B3</f>
        <v>46023</v>
      </c>
      <c r="E13" s="19">
        <f>IF(E14&lt;&gt;"",D13+1,"")</f>
        <v>46024</v>
      </c>
      <c r="F13" s="19">
        <f t="shared" ref="F13:X13" si="0">IF(F14&lt;&gt;"",E13+1,"")</f>
        <v>46025</v>
      </c>
      <c r="G13" s="19">
        <f t="shared" si="0"/>
        <v>46026</v>
      </c>
      <c r="H13" s="19">
        <f t="shared" si="0"/>
        <v>46027</v>
      </c>
      <c r="I13" s="19">
        <f t="shared" si="0"/>
        <v>46028</v>
      </c>
      <c r="J13" s="19">
        <f t="shared" si="0"/>
        <v>46029</v>
      </c>
      <c r="K13" s="20">
        <f t="shared" si="0"/>
        <v>46030</v>
      </c>
      <c r="L13" s="20">
        <f t="shared" si="0"/>
        <v>46031</v>
      </c>
      <c r="M13" s="20">
        <f t="shared" si="0"/>
        <v>46032</v>
      </c>
      <c r="N13" s="20">
        <f t="shared" si="0"/>
        <v>46033</v>
      </c>
      <c r="O13" s="20">
        <f t="shared" si="0"/>
        <v>46034</v>
      </c>
      <c r="P13" s="20">
        <f t="shared" si="0"/>
        <v>46035</v>
      </c>
      <c r="Q13" s="20">
        <f t="shared" si="0"/>
        <v>46036</v>
      </c>
      <c r="R13" s="21">
        <f t="shared" si="0"/>
        <v>46037</v>
      </c>
      <c r="S13" s="21">
        <f t="shared" si="0"/>
        <v>46038</v>
      </c>
      <c r="T13" s="21">
        <f t="shared" si="0"/>
        <v>46039</v>
      </c>
      <c r="U13" s="21">
        <f t="shared" si="0"/>
        <v>46040</v>
      </c>
      <c r="V13" s="21">
        <f t="shared" si="0"/>
        <v>46041</v>
      </c>
      <c r="W13" s="21">
        <f t="shared" si="0"/>
        <v>46042</v>
      </c>
      <c r="X13" s="21">
        <f t="shared" si="0"/>
        <v>46043</v>
      </c>
      <c r="Y13" s="22" t="s">
        <v>10</v>
      </c>
      <c r="Z13" s="22" t="s">
        <v>11</v>
      </c>
      <c r="AA13" s="22" t="s">
        <v>12</v>
      </c>
      <c r="AB13" s="22" t="s">
        <v>13</v>
      </c>
      <c r="AC13" s="22" t="s">
        <v>14</v>
      </c>
      <c r="AD13" s="22" t="s">
        <v>15</v>
      </c>
      <c r="AE13" s="22" t="s">
        <v>16</v>
      </c>
      <c r="AF13" s="23" t="s">
        <v>10</v>
      </c>
      <c r="AG13" s="25" t="s">
        <v>11</v>
      </c>
      <c r="AH13" s="25" t="s">
        <v>12</v>
      </c>
      <c r="AI13" s="26"/>
      <c r="AJ13" s="48"/>
      <c r="AK13" s="51"/>
    </row>
    <row r="14" spans="2:37" s="2" customFormat="1" x14ac:dyDescent="0.2">
      <c r="B14" s="46"/>
      <c r="C14" s="18"/>
      <c r="D14" s="27" cm="1">
        <f t="array" ref="D14:X14">_xlfn.SEQUENCE(,21)</f>
        <v>1</v>
      </c>
      <c r="E14" s="27">
        <v>2</v>
      </c>
      <c r="F14" s="27">
        <v>3</v>
      </c>
      <c r="G14" s="27">
        <v>4</v>
      </c>
      <c r="H14" s="27">
        <v>5</v>
      </c>
      <c r="I14" s="27">
        <v>6</v>
      </c>
      <c r="J14" s="27">
        <v>7</v>
      </c>
      <c r="K14" s="28">
        <v>8</v>
      </c>
      <c r="L14" s="28">
        <v>9</v>
      </c>
      <c r="M14" s="28">
        <v>10</v>
      </c>
      <c r="N14" s="28">
        <v>11</v>
      </c>
      <c r="O14" s="28">
        <v>12</v>
      </c>
      <c r="P14" s="28">
        <v>13</v>
      </c>
      <c r="Q14" s="28">
        <v>14</v>
      </c>
      <c r="R14" s="29">
        <v>15</v>
      </c>
      <c r="S14" s="29">
        <v>16</v>
      </c>
      <c r="T14" s="29">
        <v>17</v>
      </c>
      <c r="U14" s="29">
        <v>18</v>
      </c>
      <c r="V14" s="29">
        <v>19</v>
      </c>
      <c r="W14" s="29">
        <v>20</v>
      </c>
      <c r="X14" s="29">
        <v>21</v>
      </c>
      <c r="Y14" s="30">
        <v>22</v>
      </c>
      <c r="Z14" s="30">
        <v>23</v>
      </c>
      <c r="AA14" s="30">
        <v>24</v>
      </c>
      <c r="AB14" s="30">
        <v>25</v>
      </c>
      <c r="AC14" s="30">
        <v>26</v>
      </c>
      <c r="AD14" s="30">
        <v>27</v>
      </c>
      <c r="AE14" s="30">
        <v>28</v>
      </c>
      <c r="AF14" s="31">
        <v>29</v>
      </c>
      <c r="AG14" s="32">
        <v>30</v>
      </c>
      <c r="AH14" s="32">
        <v>31</v>
      </c>
      <c r="AI14" s="26"/>
      <c r="AJ14" s="49"/>
      <c r="AK14" s="52"/>
    </row>
    <row r="15" spans="2:37" x14ac:dyDescent="0.2">
      <c r="B15" s="24" t="s">
        <v>4</v>
      </c>
      <c r="C15" s="24"/>
      <c r="D15" s="33" t="b">
        <v>0</v>
      </c>
      <c r="E15" s="33" t="b">
        <v>0</v>
      </c>
      <c r="F15" s="33" t="b">
        <v>0</v>
      </c>
      <c r="G15" s="33" t="b">
        <v>0</v>
      </c>
      <c r="H15" s="33" t="b">
        <v>0</v>
      </c>
      <c r="I15" s="33" t="b">
        <v>0</v>
      </c>
      <c r="J15" s="33" t="b">
        <v>0</v>
      </c>
      <c r="K15" s="33" t="b">
        <v>0</v>
      </c>
      <c r="L15" s="33" t="b">
        <v>0</v>
      </c>
      <c r="M15" s="33" t="b">
        <v>0</v>
      </c>
      <c r="N15" s="33" t="b">
        <v>0</v>
      </c>
      <c r="O15" s="33" t="b">
        <v>0</v>
      </c>
      <c r="P15" s="33" t="b">
        <v>0</v>
      </c>
      <c r="Q15" s="33" t="b">
        <v>0</v>
      </c>
      <c r="R15" s="33" t="b">
        <v>0</v>
      </c>
      <c r="S15" s="33" t="b">
        <v>0</v>
      </c>
      <c r="T15" s="33" t="b">
        <v>0</v>
      </c>
      <c r="U15" s="33" t="b">
        <v>0</v>
      </c>
      <c r="V15" s="33" t="b">
        <v>0</v>
      </c>
      <c r="W15" s="33" t="b">
        <v>0</v>
      </c>
      <c r="X15" s="33" t="b">
        <v>0</v>
      </c>
      <c r="Y15" s="33" t="b">
        <v>0</v>
      </c>
      <c r="Z15" s="33" t="b">
        <v>0</v>
      </c>
      <c r="AA15" s="33" t="b">
        <v>0</v>
      </c>
      <c r="AB15" s="33" t="b">
        <v>0</v>
      </c>
      <c r="AC15" s="33" t="b">
        <v>0</v>
      </c>
      <c r="AD15" s="33" t="b">
        <v>0</v>
      </c>
      <c r="AE15" s="33" t="b">
        <v>0</v>
      </c>
      <c r="AF15" s="33" t="b">
        <v>0</v>
      </c>
      <c r="AG15" s="33" t="b">
        <v>0</v>
      </c>
      <c r="AH15" s="33" t="b">
        <v>0</v>
      </c>
      <c r="AI15" s="24"/>
      <c r="AJ15" s="34">
        <f>COUNTIF(D15:AH15,"TRUE")</f>
        <v>0</v>
      </c>
      <c r="AK15" s="35" t="str">
        <f t="shared" ref="AK15:AK24" si="1">REPT("|",AJ15*4)</f>
        <v/>
      </c>
    </row>
    <row r="16" spans="2:37" x14ac:dyDescent="0.2">
      <c r="B16" s="24" t="s">
        <v>18</v>
      </c>
      <c r="C16" s="24"/>
      <c r="D16" s="33" t="b">
        <v>0</v>
      </c>
      <c r="E16" s="33" t="b">
        <v>0</v>
      </c>
      <c r="F16" s="33" t="b">
        <v>0</v>
      </c>
      <c r="G16" s="33" t="b">
        <v>0</v>
      </c>
      <c r="H16" s="33" t="b">
        <v>0</v>
      </c>
      <c r="I16" s="33" t="b">
        <v>0</v>
      </c>
      <c r="J16" s="33" t="b">
        <v>0</v>
      </c>
      <c r="K16" s="33" t="b">
        <v>0</v>
      </c>
      <c r="L16" s="33" t="b">
        <v>0</v>
      </c>
      <c r="M16" s="33" t="b">
        <v>0</v>
      </c>
      <c r="N16" s="33" t="b">
        <v>0</v>
      </c>
      <c r="O16" s="33" t="b">
        <v>0</v>
      </c>
      <c r="P16" s="33" t="b">
        <v>0</v>
      </c>
      <c r="Q16" s="33" t="b">
        <v>0</v>
      </c>
      <c r="R16" s="33" t="b">
        <v>0</v>
      </c>
      <c r="S16" s="33" t="b">
        <v>0</v>
      </c>
      <c r="T16" s="33" t="b">
        <v>0</v>
      </c>
      <c r="U16" s="33" t="b">
        <v>0</v>
      </c>
      <c r="V16" s="33" t="b">
        <v>0</v>
      </c>
      <c r="W16" s="33" t="b">
        <v>0</v>
      </c>
      <c r="X16" s="33" t="b">
        <v>0</v>
      </c>
      <c r="Y16" s="33" t="b">
        <v>0</v>
      </c>
      <c r="Z16" s="33" t="b">
        <v>0</v>
      </c>
      <c r="AA16" s="33" t="b">
        <v>0</v>
      </c>
      <c r="AB16" s="33" t="b">
        <v>0</v>
      </c>
      <c r="AC16" s="33" t="b">
        <v>0</v>
      </c>
      <c r="AD16" s="33" t="b">
        <v>0</v>
      </c>
      <c r="AE16" s="33" t="b">
        <v>0</v>
      </c>
      <c r="AF16" s="33" t="b">
        <v>0</v>
      </c>
      <c r="AG16" s="33" t="b">
        <v>0</v>
      </c>
      <c r="AH16" s="33" t="b">
        <v>0</v>
      </c>
      <c r="AI16" s="24"/>
      <c r="AJ16" s="34">
        <f t="shared" ref="AJ16:AJ24" si="2">COUNTIF(D16:AH16,"TRUE")</f>
        <v>0</v>
      </c>
      <c r="AK16" s="35" t="str">
        <f t="shared" si="1"/>
        <v/>
      </c>
    </row>
    <row r="17" spans="2:37" x14ac:dyDescent="0.2">
      <c r="B17" s="24" t="s">
        <v>19</v>
      </c>
      <c r="C17" s="24"/>
      <c r="D17" s="33" t="b">
        <v>0</v>
      </c>
      <c r="E17" s="33" t="b">
        <v>0</v>
      </c>
      <c r="F17" s="33" t="b">
        <v>0</v>
      </c>
      <c r="G17" s="33" t="b">
        <v>0</v>
      </c>
      <c r="H17" s="33" t="b">
        <v>0</v>
      </c>
      <c r="I17" s="33" t="b">
        <v>0</v>
      </c>
      <c r="J17" s="33" t="b">
        <v>0</v>
      </c>
      <c r="K17" s="33" t="b">
        <v>0</v>
      </c>
      <c r="L17" s="33" t="b">
        <v>0</v>
      </c>
      <c r="M17" s="33" t="b">
        <v>0</v>
      </c>
      <c r="N17" s="33" t="b">
        <v>0</v>
      </c>
      <c r="O17" s="33" t="b">
        <v>0</v>
      </c>
      <c r="P17" s="33" t="b">
        <v>0</v>
      </c>
      <c r="Q17" s="33" t="b">
        <v>0</v>
      </c>
      <c r="R17" s="33" t="b">
        <v>0</v>
      </c>
      <c r="S17" s="33" t="b">
        <v>0</v>
      </c>
      <c r="T17" s="33" t="b">
        <v>0</v>
      </c>
      <c r="U17" s="33" t="b">
        <v>0</v>
      </c>
      <c r="V17" s="33" t="b">
        <v>0</v>
      </c>
      <c r="W17" s="33" t="b">
        <v>0</v>
      </c>
      <c r="X17" s="33" t="b">
        <v>0</v>
      </c>
      <c r="Y17" s="33" t="b">
        <v>0</v>
      </c>
      <c r="Z17" s="33" t="b">
        <v>0</v>
      </c>
      <c r="AA17" s="33" t="b">
        <v>0</v>
      </c>
      <c r="AB17" s="33" t="b">
        <v>0</v>
      </c>
      <c r="AC17" s="33" t="b">
        <v>0</v>
      </c>
      <c r="AD17" s="33" t="b">
        <v>0</v>
      </c>
      <c r="AE17" s="33" t="b">
        <v>0</v>
      </c>
      <c r="AF17" s="33" t="b">
        <v>0</v>
      </c>
      <c r="AG17" s="33" t="b">
        <v>0</v>
      </c>
      <c r="AH17" s="33" t="b">
        <v>0</v>
      </c>
      <c r="AI17" s="24"/>
      <c r="AJ17" s="34">
        <f t="shared" si="2"/>
        <v>0</v>
      </c>
      <c r="AK17" s="35" t="str">
        <f t="shared" si="1"/>
        <v/>
      </c>
    </row>
    <row r="18" spans="2:37" x14ac:dyDescent="0.2">
      <c r="B18" s="24" t="s">
        <v>33</v>
      </c>
      <c r="C18" s="24"/>
      <c r="D18" s="33" t="b">
        <v>0</v>
      </c>
      <c r="E18" s="33" t="b">
        <v>0</v>
      </c>
      <c r="F18" s="33" t="b">
        <v>0</v>
      </c>
      <c r="G18" s="33" t="b">
        <v>0</v>
      </c>
      <c r="H18" s="33" t="b">
        <v>0</v>
      </c>
      <c r="I18" s="33" t="b">
        <v>0</v>
      </c>
      <c r="J18" s="33" t="b">
        <v>0</v>
      </c>
      <c r="K18" s="33" t="b">
        <v>0</v>
      </c>
      <c r="L18" s="33" t="b">
        <v>0</v>
      </c>
      <c r="M18" s="33" t="b">
        <v>0</v>
      </c>
      <c r="N18" s="33" t="b">
        <v>0</v>
      </c>
      <c r="O18" s="33" t="b">
        <v>0</v>
      </c>
      <c r="P18" s="33" t="b">
        <v>0</v>
      </c>
      <c r="Q18" s="33" t="b">
        <v>0</v>
      </c>
      <c r="R18" s="33" t="b">
        <v>0</v>
      </c>
      <c r="S18" s="33" t="b">
        <v>0</v>
      </c>
      <c r="T18" s="33" t="b">
        <v>0</v>
      </c>
      <c r="U18" s="33" t="b">
        <v>0</v>
      </c>
      <c r="V18" s="33" t="b">
        <v>0</v>
      </c>
      <c r="W18" s="33" t="b">
        <v>0</v>
      </c>
      <c r="X18" s="33" t="b">
        <v>0</v>
      </c>
      <c r="Y18" s="33" t="b">
        <v>0</v>
      </c>
      <c r="Z18" s="33" t="b">
        <v>0</v>
      </c>
      <c r="AA18" s="33" t="b">
        <v>0</v>
      </c>
      <c r="AB18" s="33" t="b">
        <v>0</v>
      </c>
      <c r="AC18" s="33" t="b">
        <v>0</v>
      </c>
      <c r="AD18" s="33" t="b">
        <v>0</v>
      </c>
      <c r="AE18" s="33" t="b">
        <v>0</v>
      </c>
      <c r="AF18" s="33" t="b">
        <v>0</v>
      </c>
      <c r="AG18" s="33" t="b">
        <v>0</v>
      </c>
      <c r="AH18" s="33" t="b">
        <v>0</v>
      </c>
      <c r="AI18" s="24"/>
      <c r="AJ18" s="34">
        <f t="shared" si="2"/>
        <v>0</v>
      </c>
      <c r="AK18" s="35" t="str">
        <f t="shared" si="1"/>
        <v/>
      </c>
    </row>
    <row r="19" spans="2:37" x14ac:dyDescent="0.2">
      <c r="B19" s="24" t="s">
        <v>21</v>
      </c>
      <c r="C19" s="24"/>
      <c r="D19" s="33" t="b">
        <v>0</v>
      </c>
      <c r="E19" s="33" t="b">
        <v>0</v>
      </c>
      <c r="F19" s="33" t="b">
        <v>0</v>
      </c>
      <c r="G19" s="33" t="b">
        <v>0</v>
      </c>
      <c r="H19" s="33" t="b">
        <v>0</v>
      </c>
      <c r="I19" s="33" t="b">
        <v>0</v>
      </c>
      <c r="J19" s="33" t="b">
        <v>0</v>
      </c>
      <c r="K19" s="33" t="b">
        <v>0</v>
      </c>
      <c r="L19" s="33" t="b">
        <v>0</v>
      </c>
      <c r="M19" s="33" t="b">
        <v>0</v>
      </c>
      <c r="N19" s="33" t="b">
        <v>0</v>
      </c>
      <c r="O19" s="33" t="b">
        <v>0</v>
      </c>
      <c r="P19" s="33" t="b">
        <v>0</v>
      </c>
      <c r="Q19" s="33" t="b">
        <v>0</v>
      </c>
      <c r="R19" s="33" t="b">
        <v>0</v>
      </c>
      <c r="S19" s="33" t="b">
        <v>0</v>
      </c>
      <c r="T19" s="33" t="b">
        <v>0</v>
      </c>
      <c r="U19" s="33" t="b">
        <v>0</v>
      </c>
      <c r="V19" s="33" t="b">
        <v>0</v>
      </c>
      <c r="W19" s="33" t="b">
        <v>0</v>
      </c>
      <c r="X19" s="33" t="b">
        <v>0</v>
      </c>
      <c r="Y19" s="33" t="b">
        <v>0</v>
      </c>
      <c r="Z19" s="33" t="b">
        <v>0</v>
      </c>
      <c r="AA19" s="33" t="b">
        <v>0</v>
      </c>
      <c r="AB19" s="33" t="b">
        <v>0</v>
      </c>
      <c r="AC19" s="33" t="b">
        <v>0</v>
      </c>
      <c r="AD19" s="33" t="b">
        <v>0</v>
      </c>
      <c r="AE19" s="33" t="b">
        <v>0</v>
      </c>
      <c r="AF19" s="33" t="b">
        <v>0</v>
      </c>
      <c r="AG19" s="33" t="b">
        <v>0</v>
      </c>
      <c r="AH19" s="33" t="b">
        <v>0</v>
      </c>
      <c r="AI19" s="24"/>
      <c r="AJ19" s="34">
        <f t="shared" si="2"/>
        <v>0</v>
      </c>
      <c r="AK19" s="35" t="str">
        <f t="shared" si="1"/>
        <v/>
      </c>
    </row>
    <row r="20" spans="2:37" x14ac:dyDescent="0.2">
      <c r="B20" s="24" t="s">
        <v>20</v>
      </c>
      <c r="C20" s="24"/>
      <c r="D20" s="33" t="b">
        <v>0</v>
      </c>
      <c r="E20" s="33" t="b">
        <v>0</v>
      </c>
      <c r="F20" s="33" t="b">
        <v>0</v>
      </c>
      <c r="G20" s="33" t="b">
        <v>0</v>
      </c>
      <c r="H20" s="33" t="b">
        <v>0</v>
      </c>
      <c r="I20" s="33" t="b">
        <v>0</v>
      </c>
      <c r="J20" s="33" t="b">
        <v>0</v>
      </c>
      <c r="K20" s="33" t="b">
        <v>0</v>
      </c>
      <c r="L20" s="33" t="b">
        <v>0</v>
      </c>
      <c r="M20" s="33" t="b">
        <v>0</v>
      </c>
      <c r="N20" s="33" t="b">
        <v>0</v>
      </c>
      <c r="O20" s="33" t="b">
        <v>0</v>
      </c>
      <c r="P20" s="33" t="b">
        <v>0</v>
      </c>
      <c r="Q20" s="33" t="b">
        <v>0</v>
      </c>
      <c r="R20" s="33" t="b">
        <v>0</v>
      </c>
      <c r="S20" s="33" t="b">
        <v>0</v>
      </c>
      <c r="T20" s="33" t="b">
        <v>0</v>
      </c>
      <c r="U20" s="33" t="b">
        <v>0</v>
      </c>
      <c r="V20" s="33" t="b">
        <v>0</v>
      </c>
      <c r="W20" s="33" t="b">
        <v>0</v>
      </c>
      <c r="X20" s="33" t="b">
        <v>0</v>
      </c>
      <c r="Y20" s="33" t="b">
        <v>0</v>
      </c>
      <c r="Z20" s="33" t="b">
        <v>0</v>
      </c>
      <c r="AA20" s="33" t="b">
        <v>0</v>
      </c>
      <c r="AB20" s="33" t="b">
        <v>0</v>
      </c>
      <c r="AC20" s="33" t="b">
        <v>0</v>
      </c>
      <c r="AD20" s="33" t="b">
        <v>0</v>
      </c>
      <c r="AE20" s="33" t="b">
        <v>0</v>
      </c>
      <c r="AF20" s="33" t="b">
        <v>0</v>
      </c>
      <c r="AG20" s="33" t="b">
        <v>0</v>
      </c>
      <c r="AH20" s="33" t="b">
        <v>0</v>
      </c>
      <c r="AI20" s="24"/>
      <c r="AJ20" s="34">
        <f t="shared" si="2"/>
        <v>0</v>
      </c>
      <c r="AK20" s="35" t="str">
        <f t="shared" si="1"/>
        <v/>
      </c>
    </row>
    <row r="21" spans="2:37" x14ac:dyDescent="0.2">
      <c r="B21" s="24" t="s">
        <v>22</v>
      </c>
      <c r="C21" s="24"/>
      <c r="D21" s="33" t="b">
        <v>0</v>
      </c>
      <c r="E21" s="33" t="b">
        <v>0</v>
      </c>
      <c r="F21" s="33" t="b">
        <v>0</v>
      </c>
      <c r="G21" s="33" t="b">
        <v>0</v>
      </c>
      <c r="H21" s="33" t="b">
        <v>0</v>
      </c>
      <c r="I21" s="33" t="b">
        <v>0</v>
      </c>
      <c r="J21" s="33" t="b">
        <v>0</v>
      </c>
      <c r="K21" s="33" t="b">
        <v>0</v>
      </c>
      <c r="L21" s="33" t="b">
        <v>0</v>
      </c>
      <c r="M21" s="33" t="b">
        <v>0</v>
      </c>
      <c r="N21" s="33" t="b">
        <v>0</v>
      </c>
      <c r="O21" s="33" t="b">
        <v>0</v>
      </c>
      <c r="P21" s="33" t="b">
        <v>0</v>
      </c>
      <c r="Q21" s="33" t="b">
        <v>0</v>
      </c>
      <c r="R21" s="33" t="b">
        <v>0</v>
      </c>
      <c r="S21" s="33" t="b">
        <v>0</v>
      </c>
      <c r="T21" s="33" t="b">
        <v>0</v>
      </c>
      <c r="U21" s="33" t="b">
        <v>0</v>
      </c>
      <c r="V21" s="33" t="b">
        <v>0</v>
      </c>
      <c r="W21" s="33" t="b">
        <v>0</v>
      </c>
      <c r="X21" s="33" t="b">
        <v>0</v>
      </c>
      <c r="Y21" s="33" t="b">
        <v>0</v>
      </c>
      <c r="Z21" s="33" t="b">
        <v>0</v>
      </c>
      <c r="AA21" s="33" t="b">
        <v>0</v>
      </c>
      <c r="AB21" s="33" t="b">
        <v>0</v>
      </c>
      <c r="AC21" s="33" t="b">
        <v>0</v>
      </c>
      <c r="AD21" s="33" t="b">
        <v>0</v>
      </c>
      <c r="AE21" s="33" t="b">
        <v>0</v>
      </c>
      <c r="AF21" s="33" t="b">
        <v>0</v>
      </c>
      <c r="AG21" s="33" t="b">
        <v>0</v>
      </c>
      <c r="AH21" s="33" t="b">
        <v>0</v>
      </c>
      <c r="AI21" s="24"/>
      <c r="AJ21" s="34">
        <f t="shared" si="2"/>
        <v>0</v>
      </c>
      <c r="AK21" s="35" t="str">
        <f t="shared" si="1"/>
        <v/>
      </c>
    </row>
    <row r="22" spans="2:37" x14ac:dyDescent="0.2">
      <c r="B22" s="24" t="s">
        <v>5</v>
      </c>
      <c r="C22" s="24"/>
      <c r="D22" s="33" t="b">
        <v>0</v>
      </c>
      <c r="E22" s="33" t="b">
        <v>0</v>
      </c>
      <c r="F22" s="33" t="b">
        <v>0</v>
      </c>
      <c r="G22" s="33" t="b">
        <v>0</v>
      </c>
      <c r="H22" s="33" t="b">
        <v>0</v>
      </c>
      <c r="I22" s="33" t="b">
        <v>0</v>
      </c>
      <c r="J22" s="33" t="b">
        <v>0</v>
      </c>
      <c r="K22" s="33" t="b">
        <v>0</v>
      </c>
      <c r="L22" s="33" t="b">
        <v>0</v>
      </c>
      <c r="M22" s="33" t="b">
        <v>0</v>
      </c>
      <c r="N22" s="33" t="b">
        <v>0</v>
      </c>
      <c r="O22" s="33" t="b">
        <v>0</v>
      </c>
      <c r="P22" s="33" t="b">
        <v>0</v>
      </c>
      <c r="Q22" s="33" t="b">
        <v>0</v>
      </c>
      <c r="R22" s="33" t="b">
        <v>0</v>
      </c>
      <c r="S22" s="33" t="b">
        <v>0</v>
      </c>
      <c r="T22" s="33" t="b">
        <v>0</v>
      </c>
      <c r="U22" s="33" t="b">
        <v>0</v>
      </c>
      <c r="V22" s="33" t="b">
        <v>0</v>
      </c>
      <c r="W22" s="33" t="b">
        <v>0</v>
      </c>
      <c r="X22" s="33" t="b">
        <v>0</v>
      </c>
      <c r="Y22" s="33" t="b">
        <v>0</v>
      </c>
      <c r="Z22" s="33" t="b">
        <v>0</v>
      </c>
      <c r="AA22" s="33" t="b">
        <v>0</v>
      </c>
      <c r="AB22" s="33" t="b">
        <v>0</v>
      </c>
      <c r="AC22" s="33" t="b">
        <v>0</v>
      </c>
      <c r="AD22" s="33" t="b">
        <v>0</v>
      </c>
      <c r="AE22" s="33" t="b">
        <v>0</v>
      </c>
      <c r="AF22" s="33" t="b">
        <v>0</v>
      </c>
      <c r="AG22" s="33" t="b">
        <v>0</v>
      </c>
      <c r="AH22" s="33" t="b">
        <v>0</v>
      </c>
      <c r="AI22" s="24"/>
      <c r="AJ22" s="34">
        <f t="shared" si="2"/>
        <v>0</v>
      </c>
      <c r="AK22" s="35" t="str">
        <f t="shared" si="1"/>
        <v/>
      </c>
    </row>
    <row r="23" spans="2:37" x14ac:dyDescent="0.2">
      <c r="B23" s="24" t="s">
        <v>23</v>
      </c>
      <c r="C23" s="24"/>
      <c r="D23" s="33" t="b">
        <v>0</v>
      </c>
      <c r="E23" s="33" t="b">
        <v>0</v>
      </c>
      <c r="F23" s="33" t="b">
        <v>0</v>
      </c>
      <c r="G23" s="33" t="b">
        <v>0</v>
      </c>
      <c r="H23" s="33" t="b">
        <v>0</v>
      </c>
      <c r="I23" s="33" t="b">
        <v>0</v>
      </c>
      <c r="J23" s="33" t="b">
        <v>0</v>
      </c>
      <c r="K23" s="33" t="b">
        <v>0</v>
      </c>
      <c r="L23" s="33" t="b">
        <v>0</v>
      </c>
      <c r="M23" s="33" t="b">
        <v>0</v>
      </c>
      <c r="N23" s="33" t="b">
        <v>0</v>
      </c>
      <c r="O23" s="33" t="b">
        <v>0</v>
      </c>
      <c r="P23" s="33" t="b">
        <v>0</v>
      </c>
      <c r="Q23" s="33" t="b">
        <v>0</v>
      </c>
      <c r="R23" s="33" t="b">
        <v>0</v>
      </c>
      <c r="S23" s="33" t="b">
        <v>0</v>
      </c>
      <c r="T23" s="33" t="b">
        <v>0</v>
      </c>
      <c r="U23" s="33" t="b">
        <v>0</v>
      </c>
      <c r="V23" s="33" t="b">
        <v>0</v>
      </c>
      <c r="W23" s="33" t="b">
        <v>0</v>
      </c>
      <c r="X23" s="33" t="b">
        <v>0</v>
      </c>
      <c r="Y23" s="33" t="b">
        <v>0</v>
      </c>
      <c r="Z23" s="33" t="b">
        <v>0</v>
      </c>
      <c r="AA23" s="33" t="b">
        <v>0</v>
      </c>
      <c r="AB23" s="33" t="b">
        <v>0</v>
      </c>
      <c r="AC23" s="33" t="b">
        <v>0</v>
      </c>
      <c r="AD23" s="33" t="b">
        <v>0</v>
      </c>
      <c r="AE23" s="33" t="b">
        <v>0</v>
      </c>
      <c r="AF23" s="33" t="b">
        <v>0</v>
      </c>
      <c r="AG23" s="33" t="b">
        <v>0</v>
      </c>
      <c r="AH23" s="33" t="b">
        <v>0</v>
      </c>
      <c r="AI23" s="24"/>
      <c r="AJ23" s="34">
        <f t="shared" si="2"/>
        <v>0</v>
      </c>
      <c r="AK23" s="35" t="str">
        <f t="shared" si="1"/>
        <v/>
      </c>
    </row>
    <row r="24" spans="2:37" x14ac:dyDescent="0.2">
      <c r="B24" s="24" t="s">
        <v>24</v>
      </c>
      <c r="C24" s="24"/>
      <c r="D24" s="33" t="b">
        <v>0</v>
      </c>
      <c r="E24" s="33" t="b">
        <v>0</v>
      </c>
      <c r="F24" s="33" t="b">
        <v>0</v>
      </c>
      <c r="G24" s="33" t="b">
        <v>0</v>
      </c>
      <c r="H24" s="33" t="b">
        <v>0</v>
      </c>
      <c r="I24" s="33" t="b">
        <v>0</v>
      </c>
      <c r="J24" s="33" t="b">
        <v>0</v>
      </c>
      <c r="K24" s="33" t="b">
        <v>0</v>
      </c>
      <c r="L24" s="33" t="b">
        <v>0</v>
      </c>
      <c r="M24" s="33" t="b">
        <v>0</v>
      </c>
      <c r="N24" s="33" t="b">
        <v>0</v>
      </c>
      <c r="O24" s="33" t="b">
        <v>0</v>
      </c>
      <c r="P24" s="33" t="b">
        <v>0</v>
      </c>
      <c r="Q24" s="33" t="b">
        <v>0</v>
      </c>
      <c r="R24" s="33" t="b">
        <v>0</v>
      </c>
      <c r="S24" s="33" t="b">
        <v>0</v>
      </c>
      <c r="T24" s="33" t="b">
        <v>0</v>
      </c>
      <c r="U24" s="33" t="b">
        <v>0</v>
      </c>
      <c r="V24" s="33" t="b">
        <v>0</v>
      </c>
      <c r="W24" s="33" t="b">
        <v>0</v>
      </c>
      <c r="X24" s="33" t="b">
        <v>0</v>
      </c>
      <c r="Y24" s="33" t="b">
        <v>0</v>
      </c>
      <c r="Z24" s="33" t="b">
        <v>0</v>
      </c>
      <c r="AA24" s="33" t="b">
        <v>0</v>
      </c>
      <c r="AB24" s="33" t="b">
        <v>0</v>
      </c>
      <c r="AC24" s="33" t="b">
        <v>0</v>
      </c>
      <c r="AD24" s="33" t="b">
        <v>0</v>
      </c>
      <c r="AE24" s="33" t="b">
        <v>0</v>
      </c>
      <c r="AF24" s="33" t="b">
        <v>0</v>
      </c>
      <c r="AG24" s="33" t="b">
        <v>0</v>
      </c>
      <c r="AH24" s="33" t="b">
        <v>0</v>
      </c>
      <c r="AI24" s="24"/>
      <c r="AJ24" s="34">
        <f t="shared" si="2"/>
        <v>0</v>
      </c>
      <c r="AK24" s="35" t="str">
        <f t="shared" si="1"/>
        <v/>
      </c>
    </row>
    <row r="25" spans="2:37" s="13" customFormat="1" x14ac:dyDescent="0.2"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3" t="s">
        <v>37</v>
      </c>
    </row>
    <row r="26" spans="2:37" s="10" customFormat="1" x14ac:dyDescent="0.2">
      <c r="B26" s="10" t="s">
        <v>6</v>
      </c>
      <c r="D26" s="11">
        <f t="shared" ref="D26:X26" si="3">COUNTIF(D15:D24,"TRUE")</f>
        <v>0</v>
      </c>
      <c r="E26" s="11">
        <f t="shared" si="3"/>
        <v>0</v>
      </c>
      <c r="F26" s="11">
        <f t="shared" si="3"/>
        <v>0</v>
      </c>
      <c r="G26" s="11">
        <f t="shared" si="3"/>
        <v>0</v>
      </c>
      <c r="H26" s="11">
        <f t="shared" si="3"/>
        <v>0</v>
      </c>
      <c r="I26" s="11">
        <f t="shared" si="3"/>
        <v>0</v>
      </c>
      <c r="J26" s="11">
        <f t="shared" si="3"/>
        <v>0</v>
      </c>
      <c r="K26" s="11">
        <f t="shared" si="3"/>
        <v>0</v>
      </c>
      <c r="L26" s="11">
        <f t="shared" si="3"/>
        <v>0</v>
      </c>
      <c r="M26" s="11">
        <f t="shared" si="3"/>
        <v>0</v>
      </c>
      <c r="N26" s="11">
        <f t="shared" si="3"/>
        <v>0</v>
      </c>
      <c r="O26" s="11">
        <f t="shared" si="3"/>
        <v>0</v>
      </c>
      <c r="P26" s="11">
        <f t="shared" si="3"/>
        <v>0</v>
      </c>
      <c r="Q26" s="11">
        <f t="shared" si="3"/>
        <v>0</v>
      </c>
      <c r="R26" s="11">
        <f t="shared" si="3"/>
        <v>0</v>
      </c>
      <c r="S26" s="11">
        <f t="shared" si="3"/>
        <v>0</v>
      </c>
      <c r="T26" s="11">
        <f t="shared" si="3"/>
        <v>0</v>
      </c>
      <c r="U26" s="11">
        <f t="shared" si="3"/>
        <v>0</v>
      </c>
      <c r="V26" s="11">
        <f t="shared" si="3"/>
        <v>0</v>
      </c>
      <c r="W26" s="11">
        <f t="shared" si="3"/>
        <v>0</v>
      </c>
      <c r="X26" s="11">
        <f t="shared" si="3"/>
        <v>0</v>
      </c>
      <c r="Y26" s="11">
        <f t="shared" ref="Y26:AH26" si="4">COUNTIF(Y15:Y24,"TRUE")</f>
        <v>0</v>
      </c>
      <c r="Z26" s="11">
        <f t="shared" si="4"/>
        <v>0</v>
      </c>
      <c r="AA26" s="11">
        <f t="shared" si="4"/>
        <v>0</v>
      </c>
      <c r="AB26" s="11">
        <f t="shared" si="4"/>
        <v>0</v>
      </c>
      <c r="AC26" s="11">
        <f t="shared" si="4"/>
        <v>0</v>
      </c>
      <c r="AD26" s="11">
        <f t="shared" si="4"/>
        <v>0</v>
      </c>
      <c r="AE26" s="11">
        <f t="shared" si="4"/>
        <v>0</v>
      </c>
      <c r="AF26" s="11">
        <f t="shared" si="4"/>
        <v>0</v>
      </c>
      <c r="AG26" s="11">
        <f t="shared" si="4"/>
        <v>0</v>
      </c>
      <c r="AH26" s="11">
        <f t="shared" si="4"/>
        <v>0</v>
      </c>
    </row>
    <row r="27" spans="2:37" s="10" customFormat="1" x14ac:dyDescent="0.2">
      <c r="B27" s="10" t="s">
        <v>7</v>
      </c>
      <c r="D27" s="12">
        <f t="shared" ref="D27:X27" si="5">D26/COUNTA(D15:D24)</f>
        <v>0</v>
      </c>
      <c r="E27" s="12">
        <f t="shared" si="5"/>
        <v>0</v>
      </c>
      <c r="F27" s="12">
        <f t="shared" si="5"/>
        <v>0</v>
      </c>
      <c r="G27" s="12">
        <f t="shared" si="5"/>
        <v>0</v>
      </c>
      <c r="H27" s="12">
        <f t="shared" si="5"/>
        <v>0</v>
      </c>
      <c r="I27" s="12">
        <f t="shared" si="5"/>
        <v>0</v>
      </c>
      <c r="J27" s="12">
        <f t="shared" si="5"/>
        <v>0</v>
      </c>
      <c r="K27" s="12">
        <f t="shared" si="5"/>
        <v>0</v>
      </c>
      <c r="L27" s="12">
        <f t="shared" si="5"/>
        <v>0</v>
      </c>
      <c r="M27" s="12">
        <f t="shared" si="5"/>
        <v>0</v>
      </c>
      <c r="N27" s="12">
        <f t="shared" si="5"/>
        <v>0</v>
      </c>
      <c r="O27" s="12">
        <f t="shared" si="5"/>
        <v>0</v>
      </c>
      <c r="P27" s="12">
        <f t="shared" si="5"/>
        <v>0</v>
      </c>
      <c r="Q27" s="12">
        <f t="shared" si="5"/>
        <v>0</v>
      </c>
      <c r="R27" s="12">
        <f t="shared" si="5"/>
        <v>0</v>
      </c>
      <c r="S27" s="12">
        <f t="shared" si="5"/>
        <v>0</v>
      </c>
      <c r="T27" s="12">
        <f t="shared" si="5"/>
        <v>0</v>
      </c>
      <c r="U27" s="12">
        <f t="shared" si="5"/>
        <v>0</v>
      </c>
      <c r="V27" s="12">
        <f t="shared" si="5"/>
        <v>0</v>
      </c>
      <c r="W27" s="12">
        <f t="shared" si="5"/>
        <v>0</v>
      </c>
      <c r="X27" s="12">
        <f t="shared" si="5"/>
        <v>0</v>
      </c>
      <c r="Y27" s="12">
        <f t="shared" ref="Y27:AH27" si="6">Y26/COUNTA(Y15:Y24)</f>
        <v>0</v>
      </c>
      <c r="Z27" s="12">
        <f t="shared" si="6"/>
        <v>0</v>
      </c>
      <c r="AA27" s="12">
        <f t="shared" si="6"/>
        <v>0</v>
      </c>
      <c r="AB27" s="12">
        <f t="shared" si="6"/>
        <v>0</v>
      </c>
      <c r="AC27" s="12">
        <f t="shared" si="6"/>
        <v>0</v>
      </c>
      <c r="AD27" s="12">
        <f t="shared" si="6"/>
        <v>0</v>
      </c>
      <c r="AE27" s="12">
        <f t="shared" si="6"/>
        <v>0</v>
      </c>
      <c r="AF27" s="12">
        <f t="shared" si="6"/>
        <v>0</v>
      </c>
      <c r="AG27" s="12">
        <f t="shared" si="6"/>
        <v>0</v>
      </c>
      <c r="AH27" s="12">
        <f t="shared" si="6"/>
        <v>0</v>
      </c>
    </row>
    <row r="28" spans="2:37" s="13" customFormat="1" hidden="1" x14ac:dyDescent="0.2"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2:37" s="15" customFormat="1" hidden="1" x14ac:dyDescent="0.2"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 t="s">
        <v>8</v>
      </c>
      <c r="Y29" s="8"/>
    </row>
  </sheetData>
  <sheetProtection algorithmName="SHA-512" hashValue="PsHbzRSnLIqcp3X/773wUr51L5CYJ2YRYPr3KSvSQN3wWkBTwbBAcVXoHFwuDHU8VLIxiLDhCFm5ZsLZCy/eHA==" saltValue="7v7rAGAmllWQW5nKn1WLXA==" spinCount="100000" sheet="1" objects="1" scenarios="1"/>
  <mergeCells count="8">
    <mergeCell ref="B12:B14"/>
    <mergeCell ref="AJ12:AJ14"/>
    <mergeCell ref="AK12:AK14"/>
    <mergeCell ref="D12:J12"/>
    <mergeCell ref="K12:Q12"/>
    <mergeCell ref="R12:X12"/>
    <mergeCell ref="Y12:AE12"/>
    <mergeCell ref="AF12:AH12"/>
  </mergeCells>
  <conditionalFormatting sqref="AC5:AC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{8339A9F4-6B2C-2748-BD67-B8FFC3A87AA1}</x14:id>
        </ext>
      </extLst>
    </cfRule>
  </conditionalFormatting>
  <pageMargins left="0.7" right="0.7" top="0.75" bottom="0.75" header="0.3" footer="0.3"/>
  <pageSetup paperSize="9" orientation="landscape" horizontalDpi="0" verticalDpi="0"/>
  <drawing r:id="rId1"/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39A9F4-6B2C-2748-BD67-B8FFC3A87A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AC5:AC7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27FC-6BD1-CC4B-AA9A-17FBE48CBFC1}">
  <dimension ref="A1:XFC29"/>
  <sheetViews>
    <sheetView topLeftCell="B1" workbookViewId="0">
      <selection activeCell="D15" sqref="D15:AE24"/>
    </sheetView>
  </sheetViews>
  <sheetFormatPr baseColWidth="10" defaultColWidth="0" defaultRowHeight="16" customHeight="1" zeroHeight="1" x14ac:dyDescent="0.2"/>
  <cols>
    <col min="1" max="1" width="11.1640625" hidden="1"/>
    <col min="2" max="2" width="31" customWidth="1"/>
    <col min="3" max="3" width="0.1640625" hidden="1"/>
    <col min="4" max="4" width="4.83203125" customWidth="1"/>
    <col min="5" max="5" width="4.1640625" style="1" customWidth="1"/>
    <col min="6" max="6" width="4.6640625" style="1" customWidth="1"/>
    <col min="7" max="7" width="4.1640625" style="1" customWidth="1"/>
    <col min="8" max="8" width="5.1640625" style="1" customWidth="1"/>
    <col min="9" max="9" width="5.5" style="1" customWidth="1"/>
    <col min="10" max="11" width="6.1640625" style="1" customWidth="1"/>
    <col min="12" max="12" width="6.33203125" style="1" customWidth="1"/>
    <col min="13" max="17" width="6.1640625" style="1" customWidth="1"/>
    <col min="18" max="18" width="5" style="1" customWidth="1"/>
    <col min="19" max="19" width="6.1640625" style="1" customWidth="1"/>
    <col min="20" max="20" width="6.5" style="1" customWidth="1"/>
    <col min="21" max="22" width="6.1640625" style="1" customWidth="1"/>
    <col min="23" max="24" width="5.83203125" style="1" customWidth="1"/>
    <col min="25" max="25" width="8" style="1" customWidth="1"/>
    <col min="26" max="26" width="5.83203125" customWidth="1"/>
    <col min="27" max="27" width="6.83203125" customWidth="1"/>
    <col min="28" max="28" width="5.6640625" customWidth="1"/>
    <col min="29" max="29" width="6" customWidth="1"/>
    <col min="30" max="30" width="7.33203125" customWidth="1"/>
    <col min="31" max="31" width="6.83203125" customWidth="1"/>
    <col min="32" max="32" width="7.1640625" hidden="1" customWidth="1"/>
    <col min="33" max="33" width="7.6640625" hidden="1" customWidth="1"/>
    <col min="34" max="34" width="8" hidden="1" customWidth="1"/>
    <col min="35" max="35" width="11.33203125" hidden="1"/>
    <col min="36" max="36" width="16.33203125" customWidth="1"/>
    <col min="37" max="37" width="20.5" customWidth="1"/>
    <col min="38" max="16377" width="11.1640625" hidden="1"/>
    <col min="16378" max="16378" width="14" hidden="1"/>
    <col min="16379" max="16379" width="14.5" hidden="1"/>
    <col min="16380" max="16382" width="0.1640625" hidden="1"/>
    <col min="16383" max="16383" width="20" hidden="1"/>
    <col min="16384" max="16384" width="31.1640625" hidden="1"/>
  </cols>
  <sheetData>
    <row r="1" spans="2:37" x14ac:dyDescent="0.2"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2:37" x14ac:dyDescent="0.2">
      <c r="B2" s="9" t="s">
        <v>27</v>
      </c>
      <c r="C2" s="5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3"/>
      <c r="AA2" s="3"/>
      <c r="AB2" s="3"/>
      <c r="AC2" s="3"/>
      <c r="AD2" s="3"/>
      <c r="AE2" s="3"/>
      <c r="AF2" s="3"/>
      <c r="AG2" s="3"/>
      <c r="AH2" s="3"/>
      <c r="AI2" s="3"/>
      <c r="AJ2" s="4"/>
      <c r="AK2" s="36" t="s">
        <v>30</v>
      </c>
    </row>
    <row r="3" spans="2:37" x14ac:dyDescent="0.2">
      <c r="B3" s="6">
        <v>46023</v>
      </c>
      <c r="C3" s="6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4"/>
      <c r="AK3" s="7">
        <f>COUNTIF(D27:AE27,"100%")</f>
        <v>0</v>
      </c>
    </row>
    <row r="4" spans="2:37" x14ac:dyDescent="0.2">
      <c r="B4" s="40" t="s">
        <v>0</v>
      </c>
      <c r="C4" s="5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3"/>
      <c r="AA4" s="3"/>
      <c r="AB4" s="3"/>
      <c r="AC4" s="3"/>
      <c r="AD4" s="3"/>
      <c r="AE4" s="3"/>
      <c r="AF4" s="3"/>
      <c r="AG4" s="3"/>
      <c r="AH4" s="3"/>
      <c r="AI4" s="3"/>
      <c r="AJ4" s="4"/>
      <c r="AK4" s="37" t="s">
        <v>31</v>
      </c>
    </row>
    <row r="5" spans="2:37" x14ac:dyDescent="0.2">
      <c r="B5" s="4" t="str">
        <f>_xlfn.XLOOKUP(MAX(AJ15:AJ24),AJ15:AJ24,B15:B24)</f>
        <v>Daily Exercise</v>
      </c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3"/>
      <c r="AA5" s="3"/>
      <c r="AB5" s="3"/>
      <c r="AC5" s="3"/>
      <c r="AD5" s="3"/>
      <c r="AE5" s="3"/>
      <c r="AF5" s="3"/>
      <c r="AG5" s="3"/>
      <c r="AH5" s="3"/>
      <c r="AI5" s="3"/>
      <c r="AJ5" s="4"/>
      <c r="AK5" s="7">
        <f>COUNTIF(D27:AE27,"&gt;50%")</f>
        <v>0</v>
      </c>
    </row>
    <row r="6" spans="2:37" x14ac:dyDescent="0.2">
      <c r="B6" s="4" t="s">
        <v>22</v>
      </c>
      <c r="C6" s="4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3"/>
      <c r="AA6" s="3"/>
      <c r="AB6" s="3"/>
      <c r="AC6" s="3"/>
      <c r="AD6" s="3"/>
      <c r="AE6" s="3"/>
      <c r="AF6" s="3"/>
      <c r="AG6" s="3"/>
      <c r="AH6" s="3"/>
      <c r="AI6" s="3"/>
      <c r="AJ6" s="4"/>
      <c r="AK6" s="3"/>
    </row>
    <row r="7" spans="2:37" x14ac:dyDescent="0.2">
      <c r="B7" s="39" t="s">
        <v>1</v>
      </c>
      <c r="C7" s="5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4"/>
      <c r="AK7" s="38" t="s">
        <v>32</v>
      </c>
    </row>
    <row r="8" spans="2:37" x14ac:dyDescent="0.2">
      <c r="B8" s="4" t="s">
        <v>34</v>
      </c>
      <c r="C8" s="4"/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3"/>
      <c r="AA8" s="3"/>
      <c r="AB8" s="3"/>
      <c r="AC8" s="3"/>
      <c r="AD8" s="3"/>
      <c r="AE8" s="3"/>
      <c r="AF8" s="3"/>
      <c r="AG8" s="3"/>
      <c r="AH8" s="3"/>
      <c r="AI8" s="3"/>
      <c r="AJ8" s="4"/>
      <c r="AK8" s="7">
        <f>COUNTIF(D27:AE27,"0%")</f>
        <v>28</v>
      </c>
    </row>
    <row r="9" spans="2:37" x14ac:dyDescent="0.2">
      <c r="B9" s="4" t="s">
        <v>35</v>
      </c>
      <c r="C9" s="4"/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3"/>
      <c r="AA9" s="3"/>
      <c r="AB9" s="3"/>
      <c r="AC9" s="3"/>
      <c r="AD9" s="3"/>
      <c r="AE9" s="3"/>
      <c r="AF9" s="3"/>
      <c r="AG9" s="3"/>
      <c r="AH9" s="3"/>
      <c r="AI9" s="3"/>
      <c r="AJ9" s="4"/>
      <c r="AK9" s="7"/>
    </row>
    <row r="10" spans="2:37" x14ac:dyDescent="0.2">
      <c r="B10" s="4" t="s">
        <v>36</v>
      </c>
      <c r="C10" s="4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4"/>
      <c r="AK10" s="7"/>
    </row>
    <row r="11" spans="2:37" x14ac:dyDescent="0.2">
      <c r="B11" s="4"/>
      <c r="C11" s="4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4"/>
      <c r="AK11" s="7"/>
    </row>
    <row r="12" spans="2:37" ht="16" customHeight="1" x14ac:dyDescent="0.2">
      <c r="B12" s="45" t="s">
        <v>25</v>
      </c>
      <c r="C12" s="18"/>
      <c r="D12" s="53" t="s">
        <v>26</v>
      </c>
      <c r="E12" s="53"/>
      <c r="F12" s="53"/>
      <c r="G12" s="53"/>
      <c r="H12" s="53"/>
      <c r="I12" s="53"/>
      <c r="J12" s="53"/>
      <c r="K12" s="54" t="s">
        <v>2</v>
      </c>
      <c r="L12" s="54"/>
      <c r="M12" s="54"/>
      <c r="N12" s="54"/>
      <c r="O12" s="54"/>
      <c r="P12" s="54"/>
      <c r="Q12" s="54"/>
      <c r="R12" s="55" t="s">
        <v>3</v>
      </c>
      <c r="S12" s="55"/>
      <c r="T12" s="55"/>
      <c r="U12" s="55"/>
      <c r="V12" s="55"/>
      <c r="W12" s="55"/>
      <c r="X12" s="55"/>
      <c r="Y12" s="56" t="s">
        <v>9</v>
      </c>
      <c r="Z12" s="56"/>
      <c r="AA12" s="56"/>
      <c r="AB12" s="56"/>
      <c r="AC12" s="56"/>
      <c r="AD12" s="56"/>
      <c r="AE12" s="56"/>
      <c r="AF12" s="57"/>
      <c r="AG12" s="57"/>
      <c r="AH12" s="57"/>
      <c r="AI12" s="24"/>
      <c r="AJ12" s="47" t="s">
        <v>28</v>
      </c>
      <c r="AK12" s="50" t="s">
        <v>29</v>
      </c>
    </row>
    <row r="13" spans="2:37" s="2" customFormat="1" x14ac:dyDescent="0.2">
      <c r="B13" s="46"/>
      <c r="C13" s="18"/>
      <c r="D13" s="19" t="s">
        <v>16</v>
      </c>
      <c r="E13" s="19" t="s">
        <v>10</v>
      </c>
      <c r="F13" s="19" t="s">
        <v>11</v>
      </c>
      <c r="G13" s="19" t="s">
        <v>12</v>
      </c>
      <c r="H13" s="19" t="s">
        <v>13</v>
      </c>
      <c r="I13" s="19" t="s">
        <v>14</v>
      </c>
      <c r="J13" s="19" t="s">
        <v>15</v>
      </c>
      <c r="K13" s="28" t="s">
        <v>16</v>
      </c>
      <c r="L13" s="28" t="s">
        <v>10</v>
      </c>
      <c r="M13" s="28" t="s">
        <v>11</v>
      </c>
      <c r="N13" s="28" t="s">
        <v>12</v>
      </c>
      <c r="O13" s="28" t="s">
        <v>13</v>
      </c>
      <c r="P13" s="28" t="s">
        <v>14</v>
      </c>
      <c r="Q13" s="28" t="s">
        <v>15</v>
      </c>
      <c r="R13" s="29" t="s">
        <v>16</v>
      </c>
      <c r="S13" s="29" t="s">
        <v>10</v>
      </c>
      <c r="T13" s="29" t="s">
        <v>11</v>
      </c>
      <c r="U13" s="29" t="s">
        <v>12</v>
      </c>
      <c r="V13" s="29" t="s">
        <v>13</v>
      </c>
      <c r="W13" s="29" t="s">
        <v>14</v>
      </c>
      <c r="X13" s="29" t="s">
        <v>15</v>
      </c>
      <c r="Y13" s="30" t="s">
        <v>16</v>
      </c>
      <c r="Z13" s="30" t="s">
        <v>10</v>
      </c>
      <c r="AA13" s="30" t="s">
        <v>11</v>
      </c>
      <c r="AB13" s="30" t="s">
        <v>12</v>
      </c>
      <c r="AC13" s="30" t="s">
        <v>13</v>
      </c>
      <c r="AD13" s="30" t="s">
        <v>14</v>
      </c>
      <c r="AE13" s="30" t="s">
        <v>15</v>
      </c>
      <c r="AF13" s="23"/>
      <c r="AG13" s="25"/>
      <c r="AH13" s="25"/>
      <c r="AI13" s="26"/>
      <c r="AJ13" s="48"/>
      <c r="AK13" s="51"/>
    </row>
    <row r="14" spans="2:37" s="2" customFormat="1" x14ac:dyDescent="0.2">
      <c r="B14" s="46"/>
      <c r="C14" s="18"/>
      <c r="D14" s="27" cm="1">
        <f t="array" ref="D14:X14">_xlfn.SEQUENCE(,21)</f>
        <v>1</v>
      </c>
      <c r="E14" s="27">
        <v>2</v>
      </c>
      <c r="F14" s="27">
        <v>3</v>
      </c>
      <c r="G14" s="27">
        <v>4</v>
      </c>
      <c r="H14" s="27">
        <v>5</v>
      </c>
      <c r="I14" s="27">
        <v>6</v>
      </c>
      <c r="J14" s="27">
        <v>7</v>
      </c>
      <c r="K14" s="28">
        <v>8</v>
      </c>
      <c r="L14" s="28">
        <v>9</v>
      </c>
      <c r="M14" s="28">
        <v>10</v>
      </c>
      <c r="N14" s="28">
        <v>11</v>
      </c>
      <c r="O14" s="28">
        <v>12</v>
      </c>
      <c r="P14" s="28">
        <v>13</v>
      </c>
      <c r="Q14" s="28">
        <v>14</v>
      </c>
      <c r="R14" s="29">
        <v>15</v>
      </c>
      <c r="S14" s="29">
        <v>16</v>
      </c>
      <c r="T14" s="29">
        <v>17</v>
      </c>
      <c r="U14" s="29">
        <v>18</v>
      </c>
      <c r="V14" s="29">
        <v>19</v>
      </c>
      <c r="W14" s="29">
        <v>20</v>
      </c>
      <c r="X14" s="29">
        <v>21</v>
      </c>
      <c r="Y14" s="30">
        <v>22</v>
      </c>
      <c r="Z14" s="30">
        <v>23</v>
      </c>
      <c r="AA14" s="30">
        <v>24</v>
      </c>
      <c r="AB14" s="30">
        <v>25</v>
      </c>
      <c r="AC14" s="30">
        <v>26</v>
      </c>
      <c r="AD14" s="30">
        <v>27</v>
      </c>
      <c r="AE14" s="30">
        <v>28</v>
      </c>
      <c r="AF14" s="31"/>
      <c r="AG14" s="32"/>
      <c r="AH14" s="32"/>
      <c r="AI14" s="26"/>
      <c r="AJ14" s="49"/>
      <c r="AK14" s="52"/>
    </row>
    <row r="15" spans="2:37" x14ac:dyDescent="0.2">
      <c r="B15" s="24" t="s">
        <v>4</v>
      </c>
      <c r="C15" s="24"/>
      <c r="D15" s="33" t="b">
        <v>0</v>
      </c>
      <c r="E15" s="33" t="b">
        <v>0</v>
      </c>
      <c r="F15" s="33" t="b">
        <v>0</v>
      </c>
      <c r="G15" s="33" t="b">
        <v>0</v>
      </c>
      <c r="H15" s="33" t="b">
        <v>0</v>
      </c>
      <c r="I15" s="33" t="b">
        <v>0</v>
      </c>
      <c r="J15" s="33" t="b">
        <v>0</v>
      </c>
      <c r="K15" s="33" t="b">
        <v>0</v>
      </c>
      <c r="L15" s="33" t="b">
        <v>0</v>
      </c>
      <c r="M15" s="33" t="b">
        <v>0</v>
      </c>
      <c r="N15" s="33" t="b">
        <v>0</v>
      </c>
      <c r="O15" s="33" t="b">
        <v>0</v>
      </c>
      <c r="P15" s="33" t="b">
        <v>0</v>
      </c>
      <c r="Q15" s="33" t="b">
        <v>0</v>
      </c>
      <c r="R15" s="33" t="b">
        <v>0</v>
      </c>
      <c r="S15" s="33" t="b">
        <v>0</v>
      </c>
      <c r="T15" s="33" t="b">
        <v>0</v>
      </c>
      <c r="U15" s="33" t="b">
        <v>0</v>
      </c>
      <c r="V15" s="33" t="b">
        <v>0</v>
      </c>
      <c r="W15" s="33" t="b">
        <v>0</v>
      </c>
      <c r="X15" s="33" t="b">
        <v>0</v>
      </c>
      <c r="Y15" s="33" t="b">
        <v>0</v>
      </c>
      <c r="Z15" s="33" t="b">
        <v>0</v>
      </c>
      <c r="AA15" s="33" t="b">
        <v>0</v>
      </c>
      <c r="AB15" s="33" t="b">
        <v>0</v>
      </c>
      <c r="AC15" s="33" t="b">
        <v>0</v>
      </c>
      <c r="AD15" s="33" t="b">
        <v>0</v>
      </c>
      <c r="AE15" s="33" t="b">
        <v>0</v>
      </c>
      <c r="AF15" s="33" t="b">
        <v>0</v>
      </c>
      <c r="AG15" s="33" t="b">
        <v>0</v>
      </c>
      <c r="AH15" s="33" t="b">
        <v>0</v>
      </c>
      <c r="AI15" s="24"/>
      <c r="AJ15" s="34">
        <f t="shared" ref="AJ15:AJ24" si="0">COUNTIF(D15:AE15,"TRUE")</f>
        <v>0</v>
      </c>
      <c r="AK15" s="35" t="str">
        <f t="shared" ref="AK15:AK24" si="1">REPT("|",AJ15*4)</f>
        <v/>
      </c>
    </row>
    <row r="16" spans="2:37" x14ac:dyDescent="0.2">
      <c r="B16" s="24" t="s">
        <v>18</v>
      </c>
      <c r="C16" s="24"/>
      <c r="D16" s="33" t="b">
        <v>0</v>
      </c>
      <c r="E16" s="33" t="b">
        <v>0</v>
      </c>
      <c r="F16" s="33" t="b">
        <v>0</v>
      </c>
      <c r="G16" s="33" t="b">
        <v>0</v>
      </c>
      <c r="H16" s="33" t="b">
        <v>0</v>
      </c>
      <c r="I16" s="33" t="b">
        <v>0</v>
      </c>
      <c r="J16" s="33" t="b">
        <v>0</v>
      </c>
      <c r="K16" s="33" t="b">
        <v>0</v>
      </c>
      <c r="L16" s="33" t="b">
        <v>0</v>
      </c>
      <c r="M16" s="33" t="b">
        <v>0</v>
      </c>
      <c r="N16" s="33" t="b">
        <v>0</v>
      </c>
      <c r="O16" s="33" t="b">
        <v>0</v>
      </c>
      <c r="P16" s="33" t="b">
        <v>0</v>
      </c>
      <c r="Q16" s="33" t="b">
        <v>0</v>
      </c>
      <c r="R16" s="33" t="b">
        <v>0</v>
      </c>
      <c r="S16" s="33" t="b">
        <v>0</v>
      </c>
      <c r="T16" s="33" t="b">
        <v>0</v>
      </c>
      <c r="U16" s="33" t="b">
        <v>0</v>
      </c>
      <c r="V16" s="33" t="b">
        <v>0</v>
      </c>
      <c r="W16" s="33" t="b">
        <v>0</v>
      </c>
      <c r="X16" s="33" t="b">
        <v>0</v>
      </c>
      <c r="Y16" s="33" t="b">
        <v>0</v>
      </c>
      <c r="Z16" s="33" t="b">
        <v>0</v>
      </c>
      <c r="AA16" s="33" t="b">
        <v>0</v>
      </c>
      <c r="AB16" s="33" t="b">
        <v>0</v>
      </c>
      <c r="AC16" s="33" t="b">
        <v>0</v>
      </c>
      <c r="AD16" s="33" t="b">
        <v>0</v>
      </c>
      <c r="AE16" s="33" t="b">
        <v>0</v>
      </c>
      <c r="AF16" s="33" t="b">
        <v>0</v>
      </c>
      <c r="AG16" s="33" t="b">
        <v>0</v>
      </c>
      <c r="AH16" s="33" t="b">
        <v>0</v>
      </c>
      <c r="AI16" s="24"/>
      <c r="AJ16" s="34">
        <f t="shared" si="0"/>
        <v>0</v>
      </c>
      <c r="AK16" s="35" t="str">
        <f t="shared" si="1"/>
        <v/>
      </c>
    </row>
    <row r="17" spans="2:37" x14ac:dyDescent="0.2">
      <c r="B17" s="24" t="s">
        <v>19</v>
      </c>
      <c r="C17" s="24"/>
      <c r="D17" s="33" t="b">
        <v>0</v>
      </c>
      <c r="E17" s="33" t="b">
        <v>0</v>
      </c>
      <c r="F17" s="33" t="b">
        <v>0</v>
      </c>
      <c r="G17" s="33" t="b">
        <v>0</v>
      </c>
      <c r="H17" s="33" t="b">
        <v>0</v>
      </c>
      <c r="I17" s="33" t="b">
        <v>0</v>
      </c>
      <c r="J17" s="33" t="b">
        <v>0</v>
      </c>
      <c r="K17" s="33" t="b">
        <v>0</v>
      </c>
      <c r="L17" s="33" t="b">
        <v>0</v>
      </c>
      <c r="M17" s="33" t="b">
        <v>0</v>
      </c>
      <c r="N17" s="33" t="b">
        <v>0</v>
      </c>
      <c r="O17" s="33" t="b">
        <v>0</v>
      </c>
      <c r="P17" s="33" t="b">
        <v>0</v>
      </c>
      <c r="Q17" s="33" t="b">
        <v>0</v>
      </c>
      <c r="R17" s="33" t="b">
        <v>0</v>
      </c>
      <c r="S17" s="33" t="b">
        <v>0</v>
      </c>
      <c r="T17" s="33" t="b">
        <v>0</v>
      </c>
      <c r="U17" s="33" t="b">
        <v>0</v>
      </c>
      <c r="V17" s="33" t="b">
        <v>0</v>
      </c>
      <c r="W17" s="33" t="b">
        <v>0</v>
      </c>
      <c r="X17" s="33" t="b">
        <v>0</v>
      </c>
      <c r="Y17" s="33" t="b">
        <v>0</v>
      </c>
      <c r="Z17" s="33" t="b">
        <v>0</v>
      </c>
      <c r="AA17" s="33" t="b">
        <v>0</v>
      </c>
      <c r="AB17" s="33" t="b">
        <v>0</v>
      </c>
      <c r="AC17" s="33" t="b">
        <v>0</v>
      </c>
      <c r="AD17" s="33" t="b">
        <v>0</v>
      </c>
      <c r="AE17" s="33" t="b">
        <v>0</v>
      </c>
      <c r="AF17" s="33" t="b">
        <v>0</v>
      </c>
      <c r="AG17" s="33" t="b">
        <v>0</v>
      </c>
      <c r="AH17" s="33" t="b">
        <v>0</v>
      </c>
      <c r="AI17" s="24"/>
      <c r="AJ17" s="34">
        <f t="shared" si="0"/>
        <v>0</v>
      </c>
      <c r="AK17" s="35" t="str">
        <f t="shared" si="1"/>
        <v/>
      </c>
    </row>
    <row r="18" spans="2:37" x14ac:dyDescent="0.2">
      <c r="B18" s="24" t="s">
        <v>33</v>
      </c>
      <c r="C18" s="24"/>
      <c r="D18" s="33" t="b">
        <v>0</v>
      </c>
      <c r="E18" s="33" t="b">
        <v>0</v>
      </c>
      <c r="F18" s="33" t="b">
        <v>0</v>
      </c>
      <c r="G18" s="33" t="b">
        <v>0</v>
      </c>
      <c r="H18" s="33" t="b">
        <v>0</v>
      </c>
      <c r="I18" s="33" t="b">
        <v>0</v>
      </c>
      <c r="J18" s="33" t="b">
        <v>0</v>
      </c>
      <c r="K18" s="33" t="b">
        <v>0</v>
      </c>
      <c r="L18" s="33" t="b">
        <v>0</v>
      </c>
      <c r="M18" s="33" t="b">
        <v>0</v>
      </c>
      <c r="N18" s="33" t="b">
        <v>0</v>
      </c>
      <c r="O18" s="33" t="b">
        <v>0</v>
      </c>
      <c r="P18" s="33" t="b">
        <v>0</v>
      </c>
      <c r="Q18" s="33" t="b">
        <v>0</v>
      </c>
      <c r="R18" s="33" t="b">
        <v>0</v>
      </c>
      <c r="S18" s="33" t="b">
        <v>0</v>
      </c>
      <c r="T18" s="33" t="b">
        <v>0</v>
      </c>
      <c r="U18" s="33" t="b">
        <v>0</v>
      </c>
      <c r="V18" s="33" t="b">
        <v>0</v>
      </c>
      <c r="W18" s="33" t="b">
        <v>0</v>
      </c>
      <c r="X18" s="33" t="b">
        <v>0</v>
      </c>
      <c r="Y18" s="33" t="b">
        <v>0</v>
      </c>
      <c r="Z18" s="33" t="b">
        <v>0</v>
      </c>
      <c r="AA18" s="33" t="b">
        <v>0</v>
      </c>
      <c r="AB18" s="33" t="b">
        <v>0</v>
      </c>
      <c r="AC18" s="33" t="b">
        <v>0</v>
      </c>
      <c r="AD18" s="33" t="b">
        <v>0</v>
      </c>
      <c r="AE18" s="33" t="b">
        <v>0</v>
      </c>
      <c r="AF18" s="33" t="b">
        <v>0</v>
      </c>
      <c r="AG18" s="33" t="b">
        <v>0</v>
      </c>
      <c r="AH18" s="33" t="b">
        <v>0</v>
      </c>
      <c r="AI18" s="24"/>
      <c r="AJ18" s="34">
        <f t="shared" si="0"/>
        <v>0</v>
      </c>
      <c r="AK18" s="35" t="str">
        <f t="shared" si="1"/>
        <v/>
      </c>
    </row>
    <row r="19" spans="2:37" x14ac:dyDescent="0.2">
      <c r="B19" s="24" t="s">
        <v>21</v>
      </c>
      <c r="C19" s="24"/>
      <c r="D19" s="33" t="b">
        <v>0</v>
      </c>
      <c r="E19" s="33" t="b">
        <v>0</v>
      </c>
      <c r="F19" s="33" t="b">
        <v>0</v>
      </c>
      <c r="G19" s="33" t="b">
        <v>0</v>
      </c>
      <c r="H19" s="33" t="b">
        <v>0</v>
      </c>
      <c r="I19" s="33" t="b">
        <v>0</v>
      </c>
      <c r="J19" s="33" t="b">
        <v>0</v>
      </c>
      <c r="K19" s="33" t="b">
        <v>0</v>
      </c>
      <c r="L19" s="33" t="b">
        <v>0</v>
      </c>
      <c r="M19" s="33" t="b">
        <v>0</v>
      </c>
      <c r="N19" s="33" t="b">
        <v>0</v>
      </c>
      <c r="O19" s="33" t="b">
        <v>0</v>
      </c>
      <c r="P19" s="33" t="b">
        <v>0</v>
      </c>
      <c r="Q19" s="33" t="b">
        <v>0</v>
      </c>
      <c r="R19" s="33" t="b">
        <v>0</v>
      </c>
      <c r="S19" s="33" t="b">
        <v>0</v>
      </c>
      <c r="T19" s="33" t="b">
        <v>0</v>
      </c>
      <c r="U19" s="33" t="b">
        <v>0</v>
      </c>
      <c r="V19" s="33" t="b">
        <v>0</v>
      </c>
      <c r="W19" s="33" t="b">
        <v>0</v>
      </c>
      <c r="X19" s="33" t="b">
        <v>0</v>
      </c>
      <c r="Y19" s="33" t="b">
        <v>0</v>
      </c>
      <c r="Z19" s="33" t="b">
        <v>0</v>
      </c>
      <c r="AA19" s="33" t="b">
        <v>0</v>
      </c>
      <c r="AB19" s="33" t="b">
        <v>0</v>
      </c>
      <c r="AC19" s="33" t="b">
        <v>0</v>
      </c>
      <c r="AD19" s="33" t="b">
        <v>0</v>
      </c>
      <c r="AE19" s="33" t="b">
        <v>0</v>
      </c>
      <c r="AF19" s="33" t="b">
        <v>0</v>
      </c>
      <c r="AG19" s="33" t="b">
        <v>0</v>
      </c>
      <c r="AH19" s="33" t="b">
        <v>0</v>
      </c>
      <c r="AI19" s="24"/>
      <c r="AJ19" s="34">
        <f t="shared" si="0"/>
        <v>0</v>
      </c>
      <c r="AK19" s="35" t="str">
        <f t="shared" si="1"/>
        <v/>
      </c>
    </row>
    <row r="20" spans="2:37" x14ac:dyDescent="0.2">
      <c r="B20" s="24" t="s">
        <v>20</v>
      </c>
      <c r="C20" s="24"/>
      <c r="D20" s="33" t="b">
        <v>0</v>
      </c>
      <c r="E20" s="33" t="b">
        <v>0</v>
      </c>
      <c r="F20" s="33" t="b">
        <v>0</v>
      </c>
      <c r="G20" s="33" t="b">
        <v>0</v>
      </c>
      <c r="H20" s="33" t="b">
        <v>0</v>
      </c>
      <c r="I20" s="33" t="b">
        <v>0</v>
      </c>
      <c r="J20" s="33" t="b">
        <v>0</v>
      </c>
      <c r="K20" s="33" t="b">
        <v>0</v>
      </c>
      <c r="L20" s="33" t="b">
        <v>0</v>
      </c>
      <c r="M20" s="33" t="b">
        <v>0</v>
      </c>
      <c r="N20" s="33" t="b">
        <v>0</v>
      </c>
      <c r="O20" s="33" t="b">
        <v>0</v>
      </c>
      <c r="P20" s="33" t="b">
        <v>0</v>
      </c>
      <c r="Q20" s="33" t="b">
        <v>0</v>
      </c>
      <c r="R20" s="33" t="b">
        <v>0</v>
      </c>
      <c r="S20" s="33" t="b">
        <v>0</v>
      </c>
      <c r="T20" s="33" t="b">
        <v>0</v>
      </c>
      <c r="U20" s="33" t="b">
        <v>0</v>
      </c>
      <c r="V20" s="33" t="b">
        <v>0</v>
      </c>
      <c r="W20" s="33" t="b">
        <v>0</v>
      </c>
      <c r="X20" s="33" t="b">
        <v>0</v>
      </c>
      <c r="Y20" s="33" t="b">
        <v>0</v>
      </c>
      <c r="Z20" s="33" t="b">
        <v>0</v>
      </c>
      <c r="AA20" s="33" t="b">
        <v>0</v>
      </c>
      <c r="AB20" s="33" t="b">
        <v>0</v>
      </c>
      <c r="AC20" s="33" t="b">
        <v>0</v>
      </c>
      <c r="AD20" s="33" t="b">
        <v>0</v>
      </c>
      <c r="AE20" s="33" t="b">
        <v>0</v>
      </c>
      <c r="AF20" s="33" t="b">
        <v>0</v>
      </c>
      <c r="AG20" s="33" t="b">
        <v>0</v>
      </c>
      <c r="AH20" s="33" t="b">
        <v>0</v>
      </c>
      <c r="AI20" s="24"/>
      <c r="AJ20" s="34">
        <f t="shared" si="0"/>
        <v>0</v>
      </c>
      <c r="AK20" s="35" t="str">
        <f t="shared" si="1"/>
        <v/>
      </c>
    </row>
    <row r="21" spans="2:37" x14ac:dyDescent="0.2">
      <c r="B21" s="24" t="s">
        <v>22</v>
      </c>
      <c r="C21" s="24"/>
      <c r="D21" s="33" t="b">
        <v>0</v>
      </c>
      <c r="E21" s="33" t="b">
        <v>0</v>
      </c>
      <c r="F21" s="33" t="b">
        <v>0</v>
      </c>
      <c r="G21" s="33" t="b">
        <v>0</v>
      </c>
      <c r="H21" s="33" t="b">
        <v>0</v>
      </c>
      <c r="I21" s="33" t="b">
        <v>0</v>
      </c>
      <c r="J21" s="33" t="b">
        <v>0</v>
      </c>
      <c r="K21" s="33" t="b">
        <v>0</v>
      </c>
      <c r="L21" s="33" t="b">
        <v>0</v>
      </c>
      <c r="M21" s="33" t="b">
        <v>0</v>
      </c>
      <c r="N21" s="33" t="b">
        <v>0</v>
      </c>
      <c r="O21" s="33" t="b">
        <v>0</v>
      </c>
      <c r="P21" s="33" t="b">
        <v>0</v>
      </c>
      <c r="Q21" s="33" t="b">
        <v>0</v>
      </c>
      <c r="R21" s="33" t="b">
        <v>0</v>
      </c>
      <c r="S21" s="33" t="b">
        <v>0</v>
      </c>
      <c r="T21" s="33" t="b">
        <v>0</v>
      </c>
      <c r="U21" s="33" t="b">
        <v>0</v>
      </c>
      <c r="V21" s="33" t="b">
        <v>0</v>
      </c>
      <c r="W21" s="33" t="b">
        <v>0</v>
      </c>
      <c r="X21" s="33" t="b">
        <v>0</v>
      </c>
      <c r="Y21" s="33" t="b">
        <v>0</v>
      </c>
      <c r="Z21" s="33" t="b">
        <v>0</v>
      </c>
      <c r="AA21" s="33" t="b">
        <v>0</v>
      </c>
      <c r="AB21" s="33" t="b">
        <v>0</v>
      </c>
      <c r="AC21" s="33" t="b">
        <v>0</v>
      </c>
      <c r="AD21" s="33" t="b">
        <v>0</v>
      </c>
      <c r="AE21" s="33" t="b">
        <v>0</v>
      </c>
      <c r="AF21" s="33" t="b">
        <v>0</v>
      </c>
      <c r="AG21" s="33" t="b">
        <v>0</v>
      </c>
      <c r="AH21" s="33" t="b">
        <v>0</v>
      </c>
      <c r="AI21" s="24"/>
      <c r="AJ21" s="34">
        <f t="shared" si="0"/>
        <v>0</v>
      </c>
      <c r="AK21" s="35" t="str">
        <f t="shared" si="1"/>
        <v/>
      </c>
    </row>
    <row r="22" spans="2:37" x14ac:dyDescent="0.2">
      <c r="B22" s="24" t="s">
        <v>5</v>
      </c>
      <c r="C22" s="24"/>
      <c r="D22" s="33" t="b">
        <v>0</v>
      </c>
      <c r="E22" s="33" t="b">
        <v>0</v>
      </c>
      <c r="F22" s="33" t="b">
        <v>0</v>
      </c>
      <c r="G22" s="33" t="b">
        <v>0</v>
      </c>
      <c r="H22" s="33" t="b">
        <v>0</v>
      </c>
      <c r="I22" s="33" t="b">
        <v>0</v>
      </c>
      <c r="J22" s="33" t="b">
        <v>0</v>
      </c>
      <c r="K22" s="33" t="b">
        <v>0</v>
      </c>
      <c r="L22" s="33" t="b">
        <v>0</v>
      </c>
      <c r="M22" s="33" t="b">
        <v>0</v>
      </c>
      <c r="N22" s="33" t="b">
        <v>0</v>
      </c>
      <c r="O22" s="33" t="b">
        <v>0</v>
      </c>
      <c r="P22" s="33" t="b">
        <v>0</v>
      </c>
      <c r="Q22" s="33" t="b">
        <v>0</v>
      </c>
      <c r="R22" s="33" t="b">
        <v>0</v>
      </c>
      <c r="S22" s="33" t="b">
        <v>0</v>
      </c>
      <c r="T22" s="33" t="b">
        <v>0</v>
      </c>
      <c r="U22" s="33" t="b">
        <v>0</v>
      </c>
      <c r="V22" s="33" t="b">
        <v>0</v>
      </c>
      <c r="W22" s="33" t="b">
        <v>0</v>
      </c>
      <c r="X22" s="33" t="b">
        <v>0</v>
      </c>
      <c r="Y22" s="33" t="b">
        <v>0</v>
      </c>
      <c r="Z22" s="33" t="b">
        <v>0</v>
      </c>
      <c r="AA22" s="33" t="b">
        <v>0</v>
      </c>
      <c r="AB22" s="33" t="b">
        <v>0</v>
      </c>
      <c r="AC22" s="33" t="b">
        <v>0</v>
      </c>
      <c r="AD22" s="33" t="b">
        <v>0</v>
      </c>
      <c r="AE22" s="33" t="b">
        <v>0</v>
      </c>
      <c r="AF22" s="33" t="b">
        <v>0</v>
      </c>
      <c r="AG22" s="33" t="b">
        <v>0</v>
      </c>
      <c r="AH22" s="33" t="b">
        <v>0</v>
      </c>
      <c r="AI22" s="24"/>
      <c r="AJ22" s="34">
        <f t="shared" si="0"/>
        <v>0</v>
      </c>
      <c r="AK22" s="35" t="str">
        <f t="shared" si="1"/>
        <v/>
      </c>
    </row>
    <row r="23" spans="2:37" x14ac:dyDescent="0.2">
      <c r="B23" s="24" t="s">
        <v>23</v>
      </c>
      <c r="C23" s="24"/>
      <c r="D23" s="33" t="b">
        <v>0</v>
      </c>
      <c r="E23" s="33" t="b">
        <v>0</v>
      </c>
      <c r="F23" s="33" t="b">
        <v>0</v>
      </c>
      <c r="G23" s="33" t="b">
        <v>0</v>
      </c>
      <c r="H23" s="33" t="b">
        <v>0</v>
      </c>
      <c r="I23" s="33" t="b">
        <v>0</v>
      </c>
      <c r="J23" s="33" t="b">
        <v>0</v>
      </c>
      <c r="K23" s="33" t="b">
        <v>0</v>
      </c>
      <c r="L23" s="33" t="b">
        <v>0</v>
      </c>
      <c r="M23" s="33" t="b">
        <v>0</v>
      </c>
      <c r="N23" s="33" t="b">
        <v>0</v>
      </c>
      <c r="O23" s="33" t="b">
        <v>0</v>
      </c>
      <c r="P23" s="33" t="b">
        <v>0</v>
      </c>
      <c r="Q23" s="33" t="b">
        <v>0</v>
      </c>
      <c r="R23" s="33" t="b">
        <v>0</v>
      </c>
      <c r="S23" s="33" t="b">
        <v>0</v>
      </c>
      <c r="T23" s="33" t="b">
        <v>0</v>
      </c>
      <c r="U23" s="33" t="b">
        <v>0</v>
      </c>
      <c r="V23" s="33" t="b">
        <v>0</v>
      </c>
      <c r="W23" s="33" t="b">
        <v>0</v>
      </c>
      <c r="X23" s="33" t="b">
        <v>0</v>
      </c>
      <c r="Y23" s="33" t="b">
        <v>0</v>
      </c>
      <c r="Z23" s="33" t="b">
        <v>0</v>
      </c>
      <c r="AA23" s="33" t="b">
        <v>0</v>
      </c>
      <c r="AB23" s="33" t="b">
        <v>0</v>
      </c>
      <c r="AC23" s="33" t="b">
        <v>0</v>
      </c>
      <c r="AD23" s="33" t="b">
        <v>0</v>
      </c>
      <c r="AE23" s="33" t="b">
        <v>0</v>
      </c>
      <c r="AF23" s="33" t="b">
        <v>0</v>
      </c>
      <c r="AG23" s="33" t="b">
        <v>0</v>
      </c>
      <c r="AH23" s="33" t="b">
        <v>0</v>
      </c>
      <c r="AI23" s="24"/>
      <c r="AJ23" s="34">
        <f t="shared" si="0"/>
        <v>0</v>
      </c>
      <c r="AK23" s="35" t="str">
        <f t="shared" si="1"/>
        <v/>
      </c>
    </row>
    <row r="24" spans="2:37" x14ac:dyDescent="0.2">
      <c r="B24" s="24" t="s">
        <v>24</v>
      </c>
      <c r="C24" s="24"/>
      <c r="D24" s="33" t="b">
        <v>0</v>
      </c>
      <c r="E24" s="33" t="b">
        <v>0</v>
      </c>
      <c r="F24" s="33" t="b">
        <v>0</v>
      </c>
      <c r="G24" s="33" t="b">
        <v>0</v>
      </c>
      <c r="H24" s="33" t="b">
        <v>0</v>
      </c>
      <c r="I24" s="33" t="b">
        <v>0</v>
      </c>
      <c r="J24" s="33" t="b">
        <v>0</v>
      </c>
      <c r="K24" s="33" t="b">
        <v>0</v>
      </c>
      <c r="L24" s="33" t="b">
        <v>0</v>
      </c>
      <c r="M24" s="33" t="b">
        <v>0</v>
      </c>
      <c r="N24" s="33" t="b">
        <v>0</v>
      </c>
      <c r="O24" s="33" t="b">
        <v>0</v>
      </c>
      <c r="P24" s="33" t="b">
        <v>0</v>
      </c>
      <c r="Q24" s="33" t="b">
        <v>0</v>
      </c>
      <c r="R24" s="33" t="b">
        <v>0</v>
      </c>
      <c r="S24" s="33" t="b">
        <v>0</v>
      </c>
      <c r="T24" s="33" t="b">
        <v>0</v>
      </c>
      <c r="U24" s="33" t="b">
        <v>0</v>
      </c>
      <c r="V24" s="33" t="b">
        <v>0</v>
      </c>
      <c r="W24" s="33" t="b">
        <v>0</v>
      </c>
      <c r="X24" s="33" t="b">
        <v>0</v>
      </c>
      <c r="Y24" s="33" t="b">
        <v>0</v>
      </c>
      <c r="Z24" s="33" t="b">
        <v>0</v>
      </c>
      <c r="AA24" s="33" t="b">
        <v>0</v>
      </c>
      <c r="AB24" s="33" t="b">
        <v>0</v>
      </c>
      <c r="AC24" s="33" t="b">
        <v>0</v>
      </c>
      <c r="AD24" s="33" t="b">
        <v>0</v>
      </c>
      <c r="AE24" s="33" t="b">
        <v>0</v>
      </c>
      <c r="AF24" s="33" t="b">
        <v>0</v>
      </c>
      <c r="AG24" s="33" t="b">
        <v>0</v>
      </c>
      <c r="AH24" s="33" t="b">
        <v>0</v>
      </c>
      <c r="AI24" s="24"/>
      <c r="AJ24" s="34">
        <f t="shared" si="0"/>
        <v>0</v>
      </c>
      <c r="AK24" s="35" t="str">
        <f t="shared" si="1"/>
        <v/>
      </c>
    </row>
    <row r="25" spans="2:37" s="13" customFormat="1" x14ac:dyDescent="0.2"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3" t="s">
        <v>37</v>
      </c>
    </row>
    <row r="26" spans="2:37" s="10" customFormat="1" x14ac:dyDescent="0.2">
      <c r="B26" s="10" t="s">
        <v>6</v>
      </c>
      <c r="D26" s="11">
        <f t="shared" ref="D26:AH26" si="2">COUNTIF(D15:D24,"TRUE")</f>
        <v>0</v>
      </c>
      <c r="E26" s="11">
        <f t="shared" si="2"/>
        <v>0</v>
      </c>
      <c r="F26" s="11">
        <f t="shared" si="2"/>
        <v>0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0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1">
        <f t="shared" si="2"/>
        <v>0</v>
      </c>
      <c r="O26" s="11">
        <f t="shared" si="2"/>
        <v>0</v>
      </c>
      <c r="P26" s="11">
        <f t="shared" si="2"/>
        <v>0</v>
      </c>
      <c r="Q26" s="11">
        <f t="shared" si="2"/>
        <v>0</v>
      </c>
      <c r="R26" s="11">
        <f t="shared" si="2"/>
        <v>0</v>
      </c>
      <c r="S26" s="11">
        <f t="shared" si="2"/>
        <v>0</v>
      </c>
      <c r="T26" s="11">
        <f t="shared" si="2"/>
        <v>0</v>
      </c>
      <c r="U26" s="11">
        <f t="shared" si="2"/>
        <v>0</v>
      </c>
      <c r="V26" s="11">
        <f t="shared" si="2"/>
        <v>0</v>
      </c>
      <c r="W26" s="11">
        <f t="shared" si="2"/>
        <v>0</v>
      </c>
      <c r="X26" s="11">
        <f t="shared" si="2"/>
        <v>0</v>
      </c>
      <c r="Y26" s="11">
        <f t="shared" si="2"/>
        <v>0</v>
      </c>
      <c r="Z26" s="11">
        <f t="shared" si="2"/>
        <v>0</v>
      </c>
      <c r="AA26" s="11">
        <f t="shared" si="2"/>
        <v>0</v>
      </c>
      <c r="AB26" s="11">
        <f t="shared" si="2"/>
        <v>0</v>
      </c>
      <c r="AC26" s="11">
        <f t="shared" si="2"/>
        <v>0</v>
      </c>
      <c r="AD26" s="11">
        <f t="shared" si="2"/>
        <v>0</v>
      </c>
      <c r="AE26" s="11">
        <f t="shared" si="2"/>
        <v>0</v>
      </c>
      <c r="AF26" s="11">
        <f t="shared" si="2"/>
        <v>0</v>
      </c>
      <c r="AG26" s="11">
        <f t="shared" si="2"/>
        <v>0</v>
      </c>
      <c r="AH26" s="11">
        <f t="shared" si="2"/>
        <v>0</v>
      </c>
    </row>
    <row r="27" spans="2:37" s="10" customFormat="1" x14ac:dyDescent="0.2">
      <c r="B27" s="10" t="s">
        <v>7</v>
      </c>
      <c r="D27" s="12">
        <f t="shared" ref="D27:AH27" si="3">D26/COUNTA(D15:D24)</f>
        <v>0</v>
      </c>
      <c r="E27" s="12">
        <f t="shared" si="3"/>
        <v>0</v>
      </c>
      <c r="F27" s="12">
        <f t="shared" si="3"/>
        <v>0</v>
      </c>
      <c r="G27" s="12">
        <f t="shared" si="3"/>
        <v>0</v>
      </c>
      <c r="H27" s="12">
        <f t="shared" si="3"/>
        <v>0</v>
      </c>
      <c r="I27" s="12">
        <f t="shared" si="3"/>
        <v>0</v>
      </c>
      <c r="J27" s="12">
        <f t="shared" si="3"/>
        <v>0</v>
      </c>
      <c r="K27" s="12">
        <f t="shared" si="3"/>
        <v>0</v>
      </c>
      <c r="L27" s="12">
        <f t="shared" si="3"/>
        <v>0</v>
      </c>
      <c r="M27" s="12">
        <f t="shared" si="3"/>
        <v>0</v>
      </c>
      <c r="N27" s="12">
        <f t="shared" si="3"/>
        <v>0</v>
      </c>
      <c r="O27" s="12">
        <f t="shared" si="3"/>
        <v>0</v>
      </c>
      <c r="P27" s="12">
        <f t="shared" si="3"/>
        <v>0</v>
      </c>
      <c r="Q27" s="12">
        <f t="shared" si="3"/>
        <v>0</v>
      </c>
      <c r="R27" s="12">
        <f t="shared" si="3"/>
        <v>0</v>
      </c>
      <c r="S27" s="12">
        <f t="shared" si="3"/>
        <v>0</v>
      </c>
      <c r="T27" s="12">
        <f t="shared" si="3"/>
        <v>0</v>
      </c>
      <c r="U27" s="12">
        <f t="shared" si="3"/>
        <v>0</v>
      </c>
      <c r="V27" s="12">
        <f t="shared" si="3"/>
        <v>0</v>
      </c>
      <c r="W27" s="12">
        <f t="shared" si="3"/>
        <v>0</v>
      </c>
      <c r="X27" s="12">
        <f t="shared" si="3"/>
        <v>0</v>
      </c>
      <c r="Y27" s="12">
        <f t="shared" si="3"/>
        <v>0</v>
      </c>
      <c r="Z27" s="12">
        <f t="shared" si="3"/>
        <v>0</v>
      </c>
      <c r="AA27" s="12">
        <f t="shared" si="3"/>
        <v>0</v>
      </c>
      <c r="AB27" s="12">
        <f t="shared" si="3"/>
        <v>0</v>
      </c>
      <c r="AC27" s="12">
        <f t="shared" si="3"/>
        <v>0</v>
      </c>
      <c r="AD27" s="12">
        <f t="shared" si="3"/>
        <v>0</v>
      </c>
      <c r="AE27" s="12">
        <f t="shared" si="3"/>
        <v>0</v>
      </c>
      <c r="AF27" s="12">
        <f t="shared" si="3"/>
        <v>0</v>
      </c>
      <c r="AG27" s="12">
        <f t="shared" si="3"/>
        <v>0</v>
      </c>
      <c r="AH27" s="12">
        <f t="shared" si="3"/>
        <v>0</v>
      </c>
    </row>
    <row r="28" spans="2:37" s="13" customFormat="1" hidden="1" x14ac:dyDescent="0.2"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2:37" s="15" customFormat="1" hidden="1" x14ac:dyDescent="0.2"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 t="s">
        <v>8</v>
      </c>
      <c r="Y29" s="8"/>
    </row>
  </sheetData>
  <sheetProtection algorithmName="SHA-512" hashValue="MLeAz//gZJjro9wTMUFuLDaryMjGUwzp27kiTqc57jiszBS9vr+weGp4rQd+HrnsXHaM2ORfOngNQktOaPodmg==" saltValue="ZnJl7Qg3vHZo+NirN5hvVA==" spinCount="100000" sheet="1" objects="1" scenarios="1"/>
  <mergeCells count="8">
    <mergeCell ref="AJ12:AJ14"/>
    <mergeCell ref="AK12:AK14"/>
    <mergeCell ref="B12:B14"/>
    <mergeCell ref="D12:J12"/>
    <mergeCell ref="K12:Q12"/>
    <mergeCell ref="R12:X12"/>
    <mergeCell ref="Y12:AE12"/>
    <mergeCell ref="AF12:AH12"/>
  </mergeCells>
  <conditionalFormatting sqref="AC5:AC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{4127FA78-0360-EF47-9265-598D354A55B1}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27FA78-0360-EF47-9265-598D354A55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AC5:AC7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5FA04-B53A-7744-AFCF-F9D0880D20CF}">
  <dimension ref="A1:XFC29"/>
  <sheetViews>
    <sheetView topLeftCell="B1" workbookViewId="0">
      <selection activeCell="D15" sqref="D15:AH24"/>
    </sheetView>
  </sheetViews>
  <sheetFormatPr baseColWidth="10" defaultColWidth="0" defaultRowHeight="16" customHeight="1" zeroHeight="1" x14ac:dyDescent="0.2"/>
  <cols>
    <col min="1" max="1" width="11.1640625" hidden="1"/>
    <col min="2" max="2" width="31" customWidth="1"/>
    <col min="3" max="3" width="0.1640625" hidden="1"/>
    <col min="4" max="4" width="4.83203125" customWidth="1"/>
    <col min="5" max="5" width="3.6640625" style="1" customWidth="1"/>
    <col min="6" max="6" width="4.6640625" style="1" customWidth="1"/>
    <col min="7" max="7" width="4.1640625" style="1" customWidth="1"/>
    <col min="8" max="8" width="5.1640625" style="1" customWidth="1"/>
    <col min="9" max="9" width="5.5" style="1" customWidth="1"/>
    <col min="10" max="11" width="6.1640625" style="1" customWidth="1"/>
    <col min="12" max="12" width="6.33203125" style="1" customWidth="1"/>
    <col min="13" max="17" width="6.1640625" style="1" customWidth="1"/>
    <col min="18" max="18" width="5" style="1" customWidth="1"/>
    <col min="19" max="19" width="6.1640625" style="1" customWidth="1"/>
    <col min="20" max="20" width="6.5" style="1" customWidth="1"/>
    <col min="21" max="22" width="6.1640625" style="1" customWidth="1"/>
    <col min="23" max="24" width="5.83203125" style="1" customWidth="1"/>
    <col min="25" max="25" width="8" style="1" customWidth="1"/>
    <col min="26" max="26" width="5.83203125" customWidth="1"/>
    <col min="27" max="27" width="6.83203125" customWidth="1"/>
    <col min="28" max="28" width="5.6640625" customWidth="1"/>
    <col min="29" max="29" width="6" customWidth="1"/>
    <col min="30" max="30" width="7.33203125" customWidth="1"/>
    <col min="31" max="31" width="6.83203125" customWidth="1"/>
    <col min="32" max="32" width="7.1640625" customWidth="1"/>
    <col min="33" max="33" width="7.6640625" customWidth="1"/>
    <col min="34" max="34" width="8" customWidth="1"/>
    <col min="35" max="35" width="11.33203125" hidden="1"/>
    <col min="36" max="36" width="16.33203125" customWidth="1"/>
    <col min="37" max="37" width="20.5" customWidth="1"/>
    <col min="38" max="16377" width="11.1640625" hidden="1"/>
    <col min="16378" max="16378" width="14" hidden="1"/>
    <col min="16379" max="16379" width="14.5" hidden="1"/>
    <col min="16380" max="16382" width="0.1640625" hidden="1"/>
    <col min="16383" max="16383" width="20" hidden="1"/>
    <col min="16384" max="16384" width="31.1640625" hidden="1"/>
  </cols>
  <sheetData>
    <row r="1" spans="2:37" x14ac:dyDescent="0.2"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2:37" x14ac:dyDescent="0.2">
      <c r="B2" s="9" t="s">
        <v>27</v>
      </c>
      <c r="C2" s="5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3"/>
      <c r="AA2" s="3"/>
      <c r="AB2" s="3"/>
      <c r="AC2" s="3"/>
      <c r="AD2" s="3"/>
      <c r="AE2" s="3"/>
      <c r="AF2" s="3"/>
      <c r="AG2" s="3"/>
      <c r="AH2" s="3"/>
      <c r="AI2" s="3"/>
      <c r="AJ2" s="4"/>
      <c r="AK2" s="36" t="s">
        <v>30</v>
      </c>
    </row>
    <row r="3" spans="2:37" x14ac:dyDescent="0.2">
      <c r="B3" s="6">
        <v>46023</v>
      </c>
      <c r="C3" s="6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4"/>
      <c r="AK3" s="7">
        <f>COUNTIF(D27:AH27,"100%")</f>
        <v>0</v>
      </c>
    </row>
    <row r="4" spans="2:37" x14ac:dyDescent="0.2">
      <c r="B4" s="40" t="s">
        <v>0</v>
      </c>
      <c r="C4" s="5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3"/>
      <c r="AA4" s="3"/>
      <c r="AB4" s="3"/>
      <c r="AC4" s="3"/>
      <c r="AD4" s="3"/>
      <c r="AE4" s="3"/>
      <c r="AF4" s="3"/>
      <c r="AG4" s="3"/>
      <c r="AH4" s="3"/>
      <c r="AI4" s="3"/>
      <c r="AJ4" s="4"/>
      <c r="AK4" s="37" t="s">
        <v>31</v>
      </c>
    </row>
    <row r="5" spans="2:37" x14ac:dyDescent="0.2">
      <c r="B5" s="4" t="str">
        <f>_xlfn.XLOOKUP(MAX(AJ15:AJ24),AJ15:AJ24,B15:B24)</f>
        <v>Daily Exercise</v>
      </c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3"/>
      <c r="AA5" s="3"/>
      <c r="AB5" s="3"/>
      <c r="AC5" s="3"/>
      <c r="AD5" s="3"/>
      <c r="AE5" s="3"/>
      <c r="AF5" s="3"/>
      <c r="AG5" s="3"/>
      <c r="AH5" s="3"/>
      <c r="AI5" s="3"/>
      <c r="AJ5" s="4"/>
      <c r="AK5" s="7">
        <f>COUNTIF(D27:AH27,"&gt;50%")</f>
        <v>0</v>
      </c>
    </row>
    <row r="6" spans="2:37" x14ac:dyDescent="0.2">
      <c r="B6" s="4" t="s">
        <v>22</v>
      </c>
      <c r="C6" s="4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3"/>
      <c r="AA6" s="3"/>
      <c r="AB6" s="3"/>
      <c r="AC6" s="3"/>
      <c r="AD6" s="3"/>
      <c r="AE6" s="3"/>
      <c r="AF6" s="3"/>
      <c r="AG6" s="3"/>
      <c r="AH6" s="3"/>
      <c r="AI6" s="3"/>
      <c r="AJ6" s="4"/>
      <c r="AK6" s="3"/>
    </row>
    <row r="7" spans="2:37" x14ac:dyDescent="0.2">
      <c r="B7" s="39" t="s">
        <v>1</v>
      </c>
      <c r="C7" s="5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4"/>
      <c r="AK7" s="38" t="s">
        <v>32</v>
      </c>
    </row>
    <row r="8" spans="2:37" x14ac:dyDescent="0.2">
      <c r="B8" s="4" t="s">
        <v>34</v>
      </c>
      <c r="C8" s="4"/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3"/>
      <c r="AA8" s="3"/>
      <c r="AB8" s="3"/>
      <c r="AC8" s="3"/>
      <c r="AD8" s="3"/>
      <c r="AE8" s="3"/>
      <c r="AF8" s="3"/>
      <c r="AG8" s="3"/>
      <c r="AH8" s="3"/>
      <c r="AI8" s="3"/>
      <c r="AJ8" s="4"/>
      <c r="AK8" s="7">
        <f>COUNTIF(D27:AH27,"0%")</f>
        <v>31</v>
      </c>
    </row>
    <row r="9" spans="2:37" x14ac:dyDescent="0.2">
      <c r="B9" s="4" t="s">
        <v>35</v>
      </c>
      <c r="C9" s="4"/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3"/>
      <c r="AA9" s="3"/>
      <c r="AB9" s="3"/>
      <c r="AC9" s="3"/>
      <c r="AD9" s="3"/>
      <c r="AE9" s="3"/>
      <c r="AF9" s="3"/>
      <c r="AG9" s="3"/>
      <c r="AH9" s="3"/>
      <c r="AI9" s="3"/>
      <c r="AJ9" s="4"/>
      <c r="AK9" s="7"/>
    </row>
    <row r="10" spans="2:37" x14ac:dyDescent="0.2">
      <c r="B10" s="4" t="s">
        <v>36</v>
      </c>
      <c r="C10" s="4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4"/>
      <c r="AK10" s="7"/>
    </row>
    <row r="11" spans="2:37" x14ac:dyDescent="0.2">
      <c r="B11" s="4"/>
      <c r="C11" s="4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4"/>
      <c r="AK11" s="7"/>
    </row>
    <row r="12" spans="2:37" ht="16" customHeight="1" x14ac:dyDescent="0.2">
      <c r="B12" s="45" t="s">
        <v>25</v>
      </c>
      <c r="C12" s="18"/>
      <c r="D12" s="53" t="s">
        <v>26</v>
      </c>
      <c r="E12" s="53"/>
      <c r="F12" s="53"/>
      <c r="G12" s="53"/>
      <c r="H12" s="53"/>
      <c r="I12" s="53"/>
      <c r="J12" s="53"/>
      <c r="K12" s="54" t="s">
        <v>2</v>
      </c>
      <c r="L12" s="54"/>
      <c r="M12" s="54"/>
      <c r="N12" s="54"/>
      <c r="O12" s="54"/>
      <c r="P12" s="54"/>
      <c r="Q12" s="54"/>
      <c r="R12" s="55" t="s">
        <v>3</v>
      </c>
      <c r="S12" s="55"/>
      <c r="T12" s="55"/>
      <c r="U12" s="55"/>
      <c r="V12" s="55"/>
      <c r="W12" s="55"/>
      <c r="X12" s="55"/>
      <c r="Y12" s="56" t="s">
        <v>9</v>
      </c>
      <c r="Z12" s="56"/>
      <c r="AA12" s="56"/>
      <c r="AB12" s="56"/>
      <c r="AC12" s="56"/>
      <c r="AD12" s="56"/>
      <c r="AE12" s="56"/>
      <c r="AF12" s="57" t="s">
        <v>17</v>
      </c>
      <c r="AG12" s="57"/>
      <c r="AH12" s="57"/>
      <c r="AI12" s="24"/>
      <c r="AJ12" s="47" t="s">
        <v>28</v>
      </c>
      <c r="AK12" s="50" t="s">
        <v>29</v>
      </c>
    </row>
    <row r="13" spans="2:37" s="2" customFormat="1" x14ac:dyDescent="0.2">
      <c r="B13" s="46"/>
      <c r="C13" s="18"/>
      <c r="D13" s="19" t="s">
        <v>16</v>
      </c>
      <c r="E13" s="19" t="s">
        <v>10</v>
      </c>
      <c r="F13" s="19" t="s">
        <v>11</v>
      </c>
      <c r="G13" s="19" t="s">
        <v>38</v>
      </c>
      <c r="H13" s="19" t="s">
        <v>13</v>
      </c>
      <c r="I13" s="19" t="s">
        <v>14</v>
      </c>
      <c r="J13" s="19" t="s">
        <v>15</v>
      </c>
      <c r="K13" s="28" t="s">
        <v>16</v>
      </c>
      <c r="L13" s="28" t="s">
        <v>10</v>
      </c>
      <c r="M13" s="28" t="s">
        <v>11</v>
      </c>
      <c r="N13" s="28" t="s">
        <v>38</v>
      </c>
      <c r="O13" s="28" t="s">
        <v>13</v>
      </c>
      <c r="P13" s="28" t="s">
        <v>14</v>
      </c>
      <c r="Q13" s="28" t="s">
        <v>15</v>
      </c>
      <c r="R13" s="29" t="s">
        <v>16</v>
      </c>
      <c r="S13" s="29" t="s">
        <v>10</v>
      </c>
      <c r="T13" s="29" t="s">
        <v>11</v>
      </c>
      <c r="U13" s="29" t="s">
        <v>38</v>
      </c>
      <c r="V13" s="29" t="s">
        <v>13</v>
      </c>
      <c r="W13" s="29" t="s">
        <v>14</v>
      </c>
      <c r="X13" s="29" t="s">
        <v>15</v>
      </c>
      <c r="Y13" s="30" t="s">
        <v>16</v>
      </c>
      <c r="Z13" s="30" t="s">
        <v>10</v>
      </c>
      <c r="AA13" s="30" t="s">
        <v>11</v>
      </c>
      <c r="AB13" s="30" t="s">
        <v>38</v>
      </c>
      <c r="AC13" s="30" t="s">
        <v>13</v>
      </c>
      <c r="AD13" s="30" t="s">
        <v>14</v>
      </c>
      <c r="AE13" s="30" t="s">
        <v>15</v>
      </c>
      <c r="AF13" s="23" t="s">
        <v>16</v>
      </c>
      <c r="AG13" s="25" t="s">
        <v>10</v>
      </c>
      <c r="AH13" s="25" t="s">
        <v>11</v>
      </c>
      <c r="AI13" s="26"/>
      <c r="AJ13" s="48"/>
      <c r="AK13" s="51"/>
    </row>
    <row r="14" spans="2:37" s="2" customFormat="1" x14ac:dyDescent="0.2">
      <c r="B14" s="46"/>
      <c r="C14" s="18"/>
      <c r="D14" s="27" cm="1">
        <f t="array" ref="D14:X14">_xlfn.SEQUENCE(,21)</f>
        <v>1</v>
      </c>
      <c r="E14" s="27">
        <v>2</v>
      </c>
      <c r="F14" s="27">
        <v>3</v>
      </c>
      <c r="G14" s="27">
        <v>4</v>
      </c>
      <c r="H14" s="27">
        <v>5</v>
      </c>
      <c r="I14" s="27">
        <v>6</v>
      </c>
      <c r="J14" s="27">
        <v>7</v>
      </c>
      <c r="K14" s="28">
        <v>8</v>
      </c>
      <c r="L14" s="28">
        <v>9</v>
      </c>
      <c r="M14" s="28">
        <v>10</v>
      </c>
      <c r="N14" s="28">
        <v>11</v>
      </c>
      <c r="O14" s="28">
        <v>12</v>
      </c>
      <c r="P14" s="28">
        <v>13</v>
      </c>
      <c r="Q14" s="28">
        <v>14</v>
      </c>
      <c r="R14" s="29">
        <v>15</v>
      </c>
      <c r="S14" s="29">
        <v>16</v>
      </c>
      <c r="T14" s="29">
        <v>17</v>
      </c>
      <c r="U14" s="29">
        <v>18</v>
      </c>
      <c r="V14" s="29">
        <v>19</v>
      </c>
      <c r="W14" s="29">
        <v>20</v>
      </c>
      <c r="X14" s="29">
        <v>21</v>
      </c>
      <c r="Y14" s="30">
        <v>22</v>
      </c>
      <c r="Z14" s="30">
        <v>23</v>
      </c>
      <c r="AA14" s="30">
        <v>24</v>
      </c>
      <c r="AB14" s="30">
        <v>25</v>
      </c>
      <c r="AC14" s="30">
        <v>26</v>
      </c>
      <c r="AD14" s="30">
        <v>27</v>
      </c>
      <c r="AE14" s="30">
        <v>28</v>
      </c>
      <c r="AF14" s="31">
        <v>29</v>
      </c>
      <c r="AG14" s="32">
        <v>30</v>
      </c>
      <c r="AH14" s="32">
        <v>31</v>
      </c>
      <c r="AI14" s="26"/>
      <c r="AJ14" s="49"/>
      <c r="AK14" s="52"/>
    </row>
    <row r="15" spans="2:37" x14ac:dyDescent="0.2">
      <c r="B15" s="24" t="s">
        <v>4</v>
      </c>
      <c r="C15" s="24"/>
      <c r="D15" s="33" t="b">
        <v>0</v>
      </c>
      <c r="E15" s="33" t="b">
        <v>0</v>
      </c>
      <c r="F15" s="33" t="b">
        <v>0</v>
      </c>
      <c r="G15" s="33" t="b">
        <v>0</v>
      </c>
      <c r="H15" s="33" t="b">
        <v>0</v>
      </c>
      <c r="I15" s="33" t="b">
        <v>0</v>
      </c>
      <c r="J15" s="33" t="b">
        <v>0</v>
      </c>
      <c r="K15" s="33" t="b">
        <v>0</v>
      </c>
      <c r="L15" s="33" t="b">
        <v>0</v>
      </c>
      <c r="M15" s="33" t="b">
        <v>0</v>
      </c>
      <c r="N15" s="33" t="b">
        <v>0</v>
      </c>
      <c r="O15" s="33" t="b">
        <v>0</v>
      </c>
      <c r="P15" s="33" t="b">
        <v>0</v>
      </c>
      <c r="Q15" s="33" t="b">
        <v>0</v>
      </c>
      <c r="R15" s="33" t="b">
        <v>0</v>
      </c>
      <c r="S15" s="33" t="b">
        <v>0</v>
      </c>
      <c r="T15" s="33" t="b">
        <v>0</v>
      </c>
      <c r="U15" s="33" t="b">
        <v>0</v>
      </c>
      <c r="V15" s="33" t="b">
        <v>0</v>
      </c>
      <c r="W15" s="33" t="b">
        <v>0</v>
      </c>
      <c r="X15" s="33" t="b">
        <v>0</v>
      </c>
      <c r="Y15" s="33" t="b">
        <v>0</v>
      </c>
      <c r="Z15" s="33" t="b">
        <v>0</v>
      </c>
      <c r="AA15" s="33" t="b">
        <v>0</v>
      </c>
      <c r="AB15" s="33" t="b">
        <v>0</v>
      </c>
      <c r="AC15" s="33" t="b">
        <v>0</v>
      </c>
      <c r="AD15" s="33" t="b">
        <v>0</v>
      </c>
      <c r="AE15" s="33" t="b">
        <v>0</v>
      </c>
      <c r="AF15" s="33" t="b">
        <v>0</v>
      </c>
      <c r="AG15" s="33" t="b">
        <v>0</v>
      </c>
      <c r="AH15" s="33" t="b">
        <v>0</v>
      </c>
      <c r="AI15" s="24"/>
      <c r="AJ15" s="34">
        <f>COUNTIF(D15:AH15,"TRUE")</f>
        <v>0</v>
      </c>
      <c r="AK15" s="35" t="str">
        <f t="shared" ref="AK15:AK24" si="0">REPT("|",AJ15*4)</f>
        <v/>
      </c>
    </row>
    <row r="16" spans="2:37" x14ac:dyDescent="0.2">
      <c r="B16" s="24" t="s">
        <v>18</v>
      </c>
      <c r="C16" s="24"/>
      <c r="D16" s="33" t="b">
        <v>0</v>
      </c>
      <c r="E16" s="33" t="b">
        <v>0</v>
      </c>
      <c r="F16" s="33" t="b">
        <v>0</v>
      </c>
      <c r="G16" s="33" t="b">
        <v>0</v>
      </c>
      <c r="H16" s="33" t="b">
        <v>0</v>
      </c>
      <c r="I16" s="33" t="b">
        <v>0</v>
      </c>
      <c r="J16" s="33" t="b">
        <v>0</v>
      </c>
      <c r="K16" s="33" t="b">
        <v>0</v>
      </c>
      <c r="L16" s="33" t="b">
        <v>0</v>
      </c>
      <c r="M16" s="33" t="b">
        <v>0</v>
      </c>
      <c r="N16" s="33" t="b">
        <v>0</v>
      </c>
      <c r="O16" s="33" t="b">
        <v>0</v>
      </c>
      <c r="P16" s="33" t="b">
        <v>0</v>
      </c>
      <c r="Q16" s="33" t="b">
        <v>0</v>
      </c>
      <c r="R16" s="33" t="b">
        <v>0</v>
      </c>
      <c r="S16" s="33" t="b">
        <v>0</v>
      </c>
      <c r="T16" s="33" t="b">
        <v>0</v>
      </c>
      <c r="U16" s="33" t="b">
        <v>0</v>
      </c>
      <c r="V16" s="33" t="b">
        <v>0</v>
      </c>
      <c r="W16" s="33" t="b">
        <v>0</v>
      </c>
      <c r="X16" s="33" t="b">
        <v>0</v>
      </c>
      <c r="Y16" s="33" t="b">
        <v>0</v>
      </c>
      <c r="Z16" s="33" t="b">
        <v>0</v>
      </c>
      <c r="AA16" s="33" t="b">
        <v>0</v>
      </c>
      <c r="AB16" s="33" t="b">
        <v>0</v>
      </c>
      <c r="AC16" s="33" t="b">
        <v>0</v>
      </c>
      <c r="AD16" s="33" t="b">
        <v>0</v>
      </c>
      <c r="AE16" s="33" t="b">
        <v>0</v>
      </c>
      <c r="AF16" s="33" t="b">
        <v>0</v>
      </c>
      <c r="AG16" s="33" t="b">
        <v>0</v>
      </c>
      <c r="AH16" s="33" t="b">
        <v>0</v>
      </c>
      <c r="AI16" s="24"/>
      <c r="AJ16" s="34">
        <f t="shared" ref="AJ16:AJ24" si="1">COUNTIF(D16:AH16,"TRUE")</f>
        <v>0</v>
      </c>
      <c r="AK16" s="35" t="str">
        <f t="shared" si="0"/>
        <v/>
      </c>
    </row>
    <row r="17" spans="2:37" x14ac:dyDescent="0.2">
      <c r="B17" s="24" t="s">
        <v>19</v>
      </c>
      <c r="C17" s="24"/>
      <c r="D17" s="33" t="b">
        <v>0</v>
      </c>
      <c r="E17" s="33" t="b">
        <v>0</v>
      </c>
      <c r="F17" s="33" t="b">
        <v>0</v>
      </c>
      <c r="G17" s="33" t="b">
        <v>0</v>
      </c>
      <c r="H17" s="33" t="b">
        <v>0</v>
      </c>
      <c r="I17" s="33" t="b">
        <v>0</v>
      </c>
      <c r="J17" s="33" t="b">
        <v>0</v>
      </c>
      <c r="K17" s="33" t="b">
        <v>0</v>
      </c>
      <c r="L17" s="33" t="b">
        <v>0</v>
      </c>
      <c r="M17" s="33" t="b">
        <v>0</v>
      </c>
      <c r="N17" s="33" t="b">
        <v>0</v>
      </c>
      <c r="O17" s="33" t="b">
        <v>0</v>
      </c>
      <c r="P17" s="33" t="b">
        <v>0</v>
      </c>
      <c r="Q17" s="33" t="b">
        <v>0</v>
      </c>
      <c r="R17" s="33" t="b">
        <v>0</v>
      </c>
      <c r="S17" s="33" t="b">
        <v>0</v>
      </c>
      <c r="T17" s="33" t="b">
        <v>0</v>
      </c>
      <c r="U17" s="33" t="b">
        <v>0</v>
      </c>
      <c r="V17" s="33" t="b">
        <v>0</v>
      </c>
      <c r="W17" s="33" t="b">
        <v>0</v>
      </c>
      <c r="X17" s="33" t="b">
        <v>0</v>
      </c>
      <c r="Y17" s="33" t="b">
        <v>0</v>
      </c>
      <c r="Z17" s="33" t="b">
        <v>0</v>
      </c>
      <c r="AA17" s="33" t="b">
        <v>0</v>
      </c>
      <c r="AB17" s="33" t="b">
        <v>0</v>
      </c>
      <c r="AC17" s="33" t="b">
        <v>0</v>
      </c>
      <c r="AD17" s="33" t="b">
        <v>0</v>
      </c>
      <c r="AE17" s="33" t="b">
        <v>0</v>
      </c>
      <c r="AF17" s="33" t="b">
        <v>0</v>
      </c>
      <c r="AG17" s="33" t="b">
        <v>0</v>
      </c>
      <c r="AH17" s="33" t="b">
        <v>0</v>
      </c>
      <c r="AI17" s="24"/>
      <c r="AJ17" s="34">
        <f t="shared" si="1"/>
        <v>0</v>
      </c>
      <c r="AK17" s="35" t="str">
        <f t="shared" si="0"/>
        <v/>
      </c>
    </row>
    <row r="18" spans="2:37" x14ac:dyDescent="0.2">
      <c r="B18" s="24" t="s">
        <v>33</v>
      </c>
      <c r="C18" s="24"/>
      <c r="D18" s="33" t="b">
        <v>0</v>
      </c>
      <c r="E18" s="33" t="b">
        <v>0</v>
      </c>
      <c r="F18" s="33" t="b">
        <v>0</v>
      </c>
      <c r="G18" s="33" t="b">
        <v>0</v>
      </c>
      <c r="H18" s="33" t="b">
        <v>0</v>
      </c>
      <c r="I18" s="33" t="b">
        <v>0</v>
      </c>
      <c r="J18" s="33" t="b">
        <v>0</v>
      </c>
      <c r="K18" s="33" t="b">
        <v>0</v>
      </c>
      <c r="L18" s="33" t="b">
        <v>0</v>
      </c>
      <c r="M18" s="33" t="b">
        <v>0</v>
      </c>
      <c r="N18" s="33" t="b">
        <v>0</v>
      </c>
      <c r="O18" s="33" t="b">
        <v>0</v>
      </c>
      <c r="P18" s="33" t="b">
        <v>0</v>
      </c>
      <c r="Q18" s="33" t="b">
        <v>0</v>
      </c>
      <c r="R18" s="33" t="b">
        <v>0</v>
      </c>
      <c r="S18" s="33" t="b">
        <v>0</v>
      </c>
      <c r="T18" s="33" t="b">
        <v>0</v>
      </c>
      <c r="U18" s="33" t="b">
        <v>0</v>
      </c>
      <c r="V18" s="33" t="b">
        <v>0</v>
      </c>
      <c r="W18" s="33" t="b">
        <v>0</v>
      </c>
      <c r="X18" s="33" t="b">
        <v>0</v>
      </c>
      <c r="Y18" s="33" t="b">
        <v>0</v>
      </c>
      <c r="Z18" s="33" t="b">
        <v>0</v>
      </c>
      <c r="AA18" s="33" t="b">
        <v>0</v>
      </c>
      <c r="AB18" s="33" t="b">
        <v>0</v>
      </c>
      <c r="AC18" s="33" t="b">
        <v>0</v>
      </c>
      <c r="AD18" s="33" t="b">
        <v>0</v>
      </c>
      <c r="AE18" s="33" t="b">
        <v>0</v>
      </c>
      <c r="AF18" s="33" t="b">
        <v>0</v>
      </c>
      <c r="AG18" s="33" t="b">
        <v>0</v>
      </c>
      <c r="AH18" s="33" t="b">
        <v>0</v>
      </c>
      <c r="AI18" s="24"/>
      <c r="AJ18" s="34">
        <f t="shared" si="1"/>
        <v>0</v>
      </c>
      <c r="AK18" s="35" t="str">
        <f t="shared" si="0"/>
        <v/>
      </c>
    </row>
    <row r="19" spans="2:37" x14ac:dyDescent="0.2">
      <c r="B19" s="24" t="s">
        <v>21</v>
      </c>
      <c r="C19" s="24"/>
      <c r="D19" s="33" t="b">
        <v>0</v>
      </c>
      <c r="E19" s="33" t="b">
        <v>0</v>
      </c>
      <c r="F19" s="33" t="b">
        <v>0</v>
      </c>
      <c r="G19" s="33" t="b">
        <v>0</v>
      </c>
      <c r="H19" s="33" t="b">
        <v>0</v>
      </c>
      <c r="I19" s="33" t="b">
        <v>0</v>
      </c>
      <c r="J19" s="33" t="b">
        <v>0</v>
      </c>
      <c r="K19" s="33" t="b">
        <v>0</v>
      </c>
      <c r="L19" s="33" t="b">
        <v>0</v>
      </c>
      <c r="M19" s="33" t="b">
        <v>0</v>
      </c>
      <c r="N19" s="33" t="b">
        <v>0</v>
      </c>
      <c r="O19" s="33" t="b">
        <v>0</v>
      </c>
      <c r="P19" s="33" t="b">
        <v>0</v>
      </c>
      <c r="Q19" s="33" t="b">
        <v>0</v>
      </c>
      <c r="R19" s="33" t="b">
        <v>0</v>
      </c>
      <c r="S19" s="33" t="b">
        <v>0</v>
      </c>
      <c r="T19" s="33" t="b">
        <v>0</v>
      </c>
      <c r="U19" s="33" t="b">
        <v>0</v>
      </c>
      <c r="V19" s="33" t="b">
        <v>0</v>
      </c>
      <c r="W19" s="33" t="b">
        <v>0</v>
      </c>
      <c r="X19" s="33" t="b">
        <v>0</v>
      </c>
      <c r="Y19" s="33" t="b">
        <v>0</v>
      </c>
      <c r="Z19" s="33" t="b">
        <v>0</v>
      </c>
      <c r="AA19" s="33" t="b">
        <v>0</v>
      </c>
      <c r="AB19" s="33" t="b">
        <v>0</v>
      </c>
      <c r="AC19" s="33" t="b">
        <v>0</v>
      </c>
      <c r="AD19" s="33" t="b">
        <v>0</v>
      </c>
      <c r="AE19" s="33" t="b">
        <v>0</v>
      </c>
      <c r="AF19" s="33" t="b">
        <v>0</v>
      </c>
      <c r="AG19" s="33" t="b">
        <v>0</v>
      </c>
      <c r="AH19" s="33" t="b">
        <v>0</v>
      </c>
      <c r="AI19" s="24"/>
      <c r="AJ19" s="34">
        <f t="shared" si="1"/>
        <v>0</v>
      </c>
      <c r="AK19" s="35" t="str">
        <f t="shared" si="0"/>
        <v/>
      </c>
    </row>
    <row r="20" spans="2:37" x14ac:dyDescent="0.2">
      <c r="B20" s="24" t="s">
        <v>20</v>
      </c>
      <c r="C20" s="24"/>
      <c r="D20" s="33" t="b">
        <v>0</v>
      </c>
      <c r="E20" s="33" t="b">
        <v>0</v>
      </c>
      <c r="F20" s="33" t="b">
        <v>0</v>
      </c>
      <c r="G20" s="33" t="b">
        <v>0</v>
      </c>
      <c r="H20" s="33" t="b">
        <v>0</v>
      </c>
      <c r="I20" s="33" t="b">
        <v>0</v>
      </c>
      <c r="J20" s="33" t="b">
        <v>0</v>
      </c>
      <c r="K20" s="33" t="b">
        <v>0</v>
      </c>
      <c r="L20" s="33" t="b">
        <v>0</v>
      </c>
      <c r="M20" s="33" t="b">
        <v>0</v>
      </c>
      <c r="N20" s="33" t="b">
        <v>0</v>
      </c>
      <c r="O20" s="33" t="b">
        <v>0</v>
      </c>
      <c r="P20" s="33" t="b">
        <v>0</v>
      </c>
      <c r="Q20" s="33" t="b">
        <v>0</v>
      </c>
      <c r="R20" s="33" t="b">
        <v>0</v>
      </c>
      <c r="S20" s="33" t="b">
        <v>0</v>
      </c>
      <c r="T20" s="33" t="b">
        <v>0</v>
      </c>
      <c r="U20" s="33" t="b">
        <v>0</v>
      </c>
      <c r="V20" s="33" t="b">
        <v>0</v>
      </c>
      <c r="W20" s="33" t="b">
        <v>0</v>
      </c>
      <c r="X20" s="33" t="b">
        <v>0</v>
      </c>
      <c r="Y20" s="33" t="b">
        <v>0</v>
      </c>
      <c r="Z20" s="33" t="b">
        <v>0</v>
      </c>
      <c r="AA20" s="33" t="b">
        <v>0</v>
      </c>
      <c r="AB20" s="33" t="b">
        <v>0</v>
      </c>
      <c r="AC20" s="33" t="b">
        <v>0</v>
      </c>
      <c r="AD20" s="33" t="b">
        <v>0</v>
      </c>
      <c r="AE20" s="33" t="b">
        <v>0</v>
      </c>
      <c r="AF20" s="33" t="b">
        <v>0</v>
      </c>
      <c r="AG20" s="33" t="b">
        <v>0</v>
      </c>
      <c r="AH20" s="33" t="b">
        <v>0</v>
      </c>
      <c r="AI20" s="24"/>
      <c r="AJ20" s="34">
        <f t="shared" si="1"/>
        <v>0</v>
      </c>
      <c r="AK20" s="35" t="str">
        <f t="shared" si="0"/>
        <v/>
      </c>
    </row>
    <row r="21" spans="2:37" x14ac:dyDescent="0.2">
      <c r="B21" s="24" t="s">
        <v>22</v>
      </c>
      <c r="C21" s="24"/>
      <c r="D21" s="33" t="b">
        <v>0</v>
      </c>
      <c r="E21" s="33" t="b">
        <v>0</v>
      </c>
      <c r="F21" s="33" t="b">
        <v>0</v>
      </c>
      <c r="G21" s="33" t="b">
        <v>0</v>
      </c>
      <c r="H21" s="33" t="b">
        <v>0</v>
      </c>
      <c r="I21" s="33" t="b">
        <v>0</v>
      </c>
      <c r="J21" s="33" t="b">
        <v>0</v>
      </c>
      <c r="K21" s="33" t="b">
        <v>0</v>
      </c>
      <c r="L21" s="33" t="b">
        <v>0</v>
      </c>
      <c r="M21" s="33" t="b">
        <v>0</v>
      </c>
      <c r="N21" s="33" t="b">
        <v>0</v>
      </c>
      <c r="O21" s="33" t="b">
        <v>0</v>
      </c>
      <c r="P21" s="33" t="b">
        <v>0</v>
      </c>
      <c r="Q21" s="33" t="b">
        <v>0</v>
      </c>
      <c r="R21" s="33" t="b">
        <v>0</v>
      </c>
      <c r="S21" s="33" t="b">
        <v>0</v>
      </c>
      <c r="T21" s="33" t="b">
        <v>0</v>
      </c>
      <c r="U21" s="33" t="b">
        <v>0</v>
      </c>
      <c r="V21" s="33" t="b">
        <v>0</v>
      </c>
      <c r="W21" s="33" t="b">
        <v>0</v>
      </c>
      <c r="X21" s="33" t="b">
        <v>0</v>
      </c>
      <c r="Y21" s="33" t="b">
        <v>0</v>
      </c>
      <c r="Z21" s="33" t="b">
        <v>0</v>
      </c>
      <c r="AA21" s="33" t="b">
        <v>0</v>
      </c>
      <c r="AB21" s="33" t="b">
        <v>0</v>
      </c>
      <c r="AC21" s="33" t="b">
        <v>0</v>
      </c>
      <c r="AD21" s="33" t="b">
        <v>0</v>
      </c>
      <c r="AE21" s="33" t="b">
        <v>0</v>
      </c>
      <c r="AF21" s="33" t="b">
        <v>0</v>
      </c>
      <c r="AG21" s="33" t="b">
        <v>0</v>
      </c>
      <c r="AH21" s="33" t="b">
        <v>0</v>
      </c>
      <c r="AI21" s="24"/>
      <c r="AJ21" s="34">
        <f t="shared" si="1"/>
        <v>0</v>
      </c>
      <c r="AK21" s="35" t="str">
        <f t="shared" si="0"/>
        <v/>
      </c>
    </row>
    <row r="22" spans="2:37" x14ac:dyDescent="0.2">
      <c r="B22" s="24" t="s">
        <v>5</v>
      </c>
      <c r="C22" s="24"/>
      <c r="D22" s="33" t="b">
        <v>0</v>
      </c>
      <c r="E22" s="33" t="b">
        <v>0</v>
      </c>
      <c r="F22" s="33" t="b">
        <v>0</v>
      </c>
      <c r="G22" s="33" t="b">
        <v>0</v>
      </c>
      <c r="H22" s="33" t="b">
        <v>0</v>
      </c>
      <c r="I22" s="33" t="b">
        <v>0</v>
      </c>
      <c r="J22" s="33" t="b">
        <v>0</v>
      </c>
      <c r="K22" s="33" t="b">
        <v>0</v>
      </c>
      <c r="L22" s="33" t="b">
        <v>0</v>
      </c>
      <c r="M22" s="33" t="b">
        <v>0</v>
      </c>
      <c r="N22" s="33" t="b">
        <v>0</v>
      </c>
      <c r="O22" s="33" t="b">
        <v>0</v>
      </c>
      <c r="P22" s="33" t="b">
        <v>0</v>
      </c>
      <c r="Q22" s="33" t="b">
        <v>0</v>
      </c>
      <c r="R22" s="33" t="b">
        <v>0</v>
      </c>
      <c r="S22" s="33" t="b">
        <v>0</v>
      </c>
      <c r="T22" s="33" t="b">
        <v>0</v>
      </c>
      <c r="U22" s="33" t="b">
        <v>0</v>
      </c>
      <c r="V22" s="33" t="b">
        <v>0</v>
      </c>
      <c r="W22" s="33" t="b">
        <v>0</v>
      </c>
      <c r="X22" s="33" t="b">
        <v>0</v>
      </c>
      <c r="Y22" s="33" t="b">
        <v>0</v>
      </c>
      <c r="Z22" s="33" t="b">
        <v>0</v>
      </c>
      <c r="AA22" s="33" t="b">
        <v>0</v>
      </c>
      <c r="AB22" s="33" t="b">
        <v>0</v>
      </c>
      <c r="AC22" s="33" t="b">
        <v>0</v>
      </c>
      <c r="AD22" s="33" t="b">
        <v>0</v>
      </c>
      <c r="AE22" s="33" t="b">
        <v>0</v>
      </c>
      <c r="AF22" s="33" t="b">
        <v>0</v>
      </c>
      <c r="AG22" s="33" t="b">
        <v>0</v>
      </c>
      <c r="AH22" s="33" t="b">
        <v>0</v>
      </c>
      <c r="AI22" s="24"/>
      <c r="AJ22" s="34">
        <f t="shared" si="1"/>
        <v>0</v>
      </c>
      <c r="AK22" s="35" t="str">
        <f t="shared" si="0"/>
        <v/>
      </c>
    </row>
    <row r="23" spans="2:37" x14ac:dyDescent="0.2">
      <c r="B23" s="24" t="s">
        <v>23</v>
      </c>
      <c r="C23" s="24"/>
      <c r="D23" s="33" t="b">
        <v>0</v>
      </c>
      <c r="E23" s="33" t="b">
        <v>0</v>
      </c>
      <c r="F23" s="33" t="b">
        <v>0</v>
      </c>
      <c r="G23" s="33" t="b">
        <v>0</v>
      </c>
      <c r="H23" s="33" t="b">
        <v>0</v>
      </c>
      <c r="I23" s="33" t="b">
        <v>0</v>
      </c>
      <c r="J23" s="33" t="b">
        <v>0</v>
      </c>
      <c r="K23" s="33" t="b">
        <v>0</v>
      </c>
      <c r="L23" s="33" t="b">
        <v>0</v>
      </c>
      <c r="M23" s="33" t="b">
        <v>0</v>
      </c>
      <c r="N23" s="33" t="b">
        <v>0</v>
      </c>
      <c r="O23" s="33" t="b">
        <v>0</v>
      </c>
      <c r="P23" s="33" t="b">
        <v>0</v>
      </c>
      <c r="Q23" s="33" t="b">
        <v>0</v>
      </c>
      <c r="R23" s="33" t="b">
        <v>0</v>
      </c>
      <c r="S23" s="33" t="b">
        <v>0</v>
      </c>
      <c r="T23" s="33" t="b">
        <v>0</v>
      </c>
      <c r="U23" s="33" t="b">
        <v>0</v>
      </c>
      <c r="V23" s="33" t="b">
        <v>0</v>
      </c>
      <c r="W23" s="33" t="b">
        <v>0</v>
      </c>
      <c r="X23" s="33" t="b">
        <v>0</v>
      </c>
      <c r="Y23" s="33" t="b">
        <v>0</v>
      </c>
      <c r="Z23" s="33" t="b">
        <v>0</v>
      </c>
      <c r="AA23" s="33" t="b">
        <v>0</v>
      </c>
      <c r="AB23" s="33" t="b">
        <v>0</v>
      </c>
      <c r="AC23" s="33" t="b">
        <v>0</v>
      </c>
      <c r="AD23" s="33" t="b">
        <v>0</v>
      </c>
      <c r="AE23" s="33" t="b">
        <v>0</v>
      </c>
      <c r="AF23" s="33" t="b">
        <v>0</v>
      </c>
      <c r="AG23" s="33" t="b">
        <v>0</v>
      </c>
      <c r="AH23" s="33" t="b">
        <v>0</v>
      </c>
      <c r="AI23" s="24"/>
      <c r="AJ23" s="34">
        <f t="shared" si="1"/>
        <v>0</v>
      </c>
      <c r="AK23" s="35" t="str">
        <f t="shared" si="0"/>
        <v/>
      </c>
    </row>
    <row r="24" spans="2:37" x14ac:dyDescent="0.2">
      <c r="B24" s="24" t="s">
        <v>24</v>
      </c>
      <c r="C24" s="24"/>
      <c r="D24" s="33" t="b">
        <v>0</v>
      </c>
      <c r="E24" s="33" t="b">
        <v>0</v>
      </c>
      <c r="F24" s="33" t="b">
        <v>0</v>
      </c>
      <c r="G24" s="33" t="b">
        <v>0</v>
      </c>
      <c r="H24" s="33" t="b">
        <v>0</v>
      </c>
      <c r="I24" s="33" t="b">
        <v>0</v>
      </c>
      <c r="J24" s="33" t="b">
        <v>0</v>
      </c>
      <c r="K24" s="33" t="b">
        <v>0</v>
      </c>
      <c r="L24" s="33" t="b">
        <v>0</v>
      </c>
      <c r="M24" s="33" t="b">
        <v>0</v>
      </c>
      <c r="N24" s="33" t="b">
        <v>0</v>
      </c>
      <c r="O24" s="33" t="b">
        <v>0</v>
      </c>
      <c r="P24" s="33" t="b">
        <v>0</v>
      </c>
      <c r="Q24" s="33" t="b">
        <v>0</v>
      </c>
      <c r="R24" s="33" t="b">
        <v>0</v>
      </c>
      <c r="S24" s="33" t="b">
        <v>0</v>
      </c>
      <c r="T24" s="33" t="b">
        <v>0</v>
      </c>
      <c r="U24" s="33" t="b">
        <v>0</v>
      </c>
      <c r="V24" s="33" t="b">
        <v>0</v>
      </c>
      <c r="W24" s="33" t="b">
        <v>0</v>
      </c>
      <c r="X24" s="33" t="b">
        <v>0</v>
      </c>
      <c r="Y24" s="33" t="b">
        <v>0</v>
      </c>
      <c r="Z24" s="33" t="b">
        <v>0</v>
      </c>
      <c r="AA24" s="33" t="b">
        <v>0</v>
      </c>
      <c r="AB24" s="33" t="b">
        <v>0</v>
      </c>
      <c r="AC24" s="33" t="b">
        <v>0</v>
      </c>
      <c r="AD24" s="33" t="b">
        <v>0</v>
      </c>
      <c r="AE24" s="33" t="b">
        <v>0</v>
      </c>
      <c r="AF24" s="33" t="b">
        <v>0</v>
      </c>
      <c r="AG24" s="33" t="b">
        <v>0</v>
      </c>
      <c r="AH24" s="33" t="b">
        <v>0</v>
      </c>
      <c r="AI24" s="24"/>
      <c r="AJ24" s="34">
        <f t="shared" si="1"/>
        <v>0</v>
      </c>
      <c r="AK24" s="35" t="str">
        <f t="shared" si="0"/>
        <v/>
      </c>
    </row>
    <row r="25" spans="2:37" s="13" customFormat="1" x14ac:dyDescent="0.2"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3" t="s">
        <v>37</v>
      </c>
    </row>
    <row r="26" spans="2:37" s="10" customFormat="1" x14ac:dyDescent="0.2">
      <c r="B26" s="10" t="s">
        <v>6</v>
      </c>
      <c r="D26" s="11">
        <f t="shared" ref="D26:AH26" si="2">COUNTIF(D15:D24,"TRUE")</f>
        <v>0</v>
      </c>
      <c r="E26" s="11">
        <f t="shared" si="2"/>
        <v>0</v>
      </c>
      <c r="F26" s="11">
        <f t="shared" si="2"/>
        <v>0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0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1">
        <f t="shared" si="2"/>
        <v>0</v>
      </c>
      <c r="O26" s="11">
        <f t="shared" si="2"/>
        <v>0</v>
      </c>
      <c r="P26" s="11">
        <f t="shared" si="2"/>
        <v>0</v>
      </c>
      <c r="Q26" s="11">
        <f t="shared" si="2"/>
        <v>0</v>
      </c>
      <c r="R26" s="11">
        <f t="shared" si="2"/>
        <v>0</v>
      </c>
      <c r="S26" s="11">
        <f t="shared" si="2"/>
        <v>0</v>
      </c>
      <c r="T26" s="11">
        <f t="shared" si="2"/>
        <v>0</v>
      </c>
      <c r="U26" s="11">
        <f t="shared" si="2"/>
        <v>0</v>
      </c>
      <c r="V26" s="11">
        <f t="shared" si="2"/>
        <v>0</v>
      </c>
      <c r="W26" s="11">
        <f t="shared" si="2"/>
        <v>0</v>
      </c>
      <c r="X26" s="11">
        <f t="shared" si="2"/>
        <v>0</v>
      </c>
      <c r="Y26" s="11">
        <f t="shared" si="2"/>
        <v>0</v>
      </c>
      <c r="Z26" s="11">
        <f t="shared" si="2"/>
        <v>0</v>
      </c>
      <c r="AA26" s="11">
        <f t="shared" si="2"/>
        <v>0</v>
      </c>
      <c r="AB26" s="11">
        <f t="shared" si="2"/>
        <v>0</v>
      </c>
      <c r="AC26" s="11">
        <f t="shared" si="2"/>
        <v>0</v>
      </c>
      <c r="AD26" s="11">
        <f t="shared" si="2"/>
        <v>0</v>
      </c>
      <c r="AE26" s="11">
        <f t="shared" si="2"/>
        <v>0</v>
      </c>
      <c r="AF26" s="11">
        <f t="shared" si="2"/>
        <v>0</v>
      </c>
      <c r="AG26" s="11">
        <f t="shared" si="2"/>
        <v>0</v>
      </c>
      <c r="AH26" s="11">
        <f t="shared" si="2"/>
        <v>0</v>
      </c>
    </row>
    <row r="27" spans="2:37" s="10" customFormat="1" x14ac:dyDescent="0.2">
      <c r="B27" s="10" t="s">
        <v>7</v>
      </c>
      <c r="D27" s="12">
        <f t="shared" ref="D27:AH27" si="3">D26/COUNTA(D15:D24)</f>
        <v>0</v>
      </c>
      <c r="E27" s="12">
        <f t="shared" si="3"/>
        <v>0</v>
      </c>
      <c r="F27" s="12">
        <f t="shared" si="3"/>
        <v>0</v>
      </c>
      <c r="G27" s="12">
        <f t="shared" si="3"/>
        <v>0</v>
      </c>
      <c r="H27" s="12">
        <f t="shared" si="3"/>
        <v>0</v>
      </c>
      <c r="I27" s="12">
        <f t="shared" si="3"/>
        <v>0</v>
      </c>
      <c r="J27" s="12">
        <f t="shared" si="3"/>
        <v>0</v>
      </c>
      <c r="K27" s="12">
        <f t="shared" si="3"/>
        <v>0</v>
      </c>
      <c r="L27" s="12">
        <f t="shared" si="3"/>
        <v>0</v>
      </c>
      <c r="M27" s="12">
        <f t="shared" si="3"/>
        <v>0</v>
      </c>
      <c r="N27" s="12">
        <f t="shared" si="3"/>
        <v>0</v>
      </c>
      <c r="O27" s="12">
        <f t="shared" si="3"/>
        <v>0</v>
      </c>
      <c r="P27" s="12">
        <f t="shared" si="3"/>
        <v>0</v>
      </c>
      <c r="Q27" s="12">
        <f t="shared" si="3"/>
        <v>0</v>
      </c>
      <c r="R27" s="12">
        <f t="shared" si="3"/>
        <v>0</v>
      </c>
      <c r="S27" s="12">
        <f t="shared" si="3"/>
        <v>0</v>
      </c>
      <c r="T27" s="12">
        <f t="shared" si="3"/>
        <v>0</v>
      </c>
      <c r="U27" s="12">
        <f t="shared" si="3"/>
        <v>0</v>
      </c>
      <c r="V27" s="12">
        <f t="shared" si="3"/>
        <v>0</v>
      </c>
      <c r="W27" s="12">
        <f t="shared" si="3"/>
        <v>0</v>
      </c>
      <c r="X27" s="12">
        <f t="shared" si="3"/>
        <v>0</v>
      </c>
      <c r="Y27" s="12">
        <f t="shared" si="3"/>
        <v>0</v>
      </c>
      <c r="Z27" s="12">
        <f t="shared" si="3"/>
        <v>0</v>
      </c>
      <c r="AA27" s="12">
        <f t="shared" si="3"/>
        <v>0</v>
      </c>
      <c r="AB27" s="12">
        <f t="shared" si="3"/>
        <v>0</v>
      </c>
      <c r="AC27" s="12">
        <f t="shared" si="3"/>
        <v>0</v>
      </c>
      <c r="AD27" s="12">
        <f t="shared" si="3"/>
        <v>0</v>
      </c>
      <c r="AE27" s="12">
        <f t="shared" si="3"/>
        <v>0</v>
      </c>
      <c r="AF27" s="12">
        <f t="shared" si="3"/>
        <v>0</v>
      </c>
      <c r="AG27" s="12">
        <f t="shared" si="3"/>
        <v>0</v>
      </c>
      <c r="AH27" s="12">
        <f t="shared" si="3"/>
        <v>0</v>
      </c>
    </row>
    <row r="28" spans="2:37" s="13" customFormat="1" hidden="1" x14ac:dyDescent="0.2"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2:37" s="15" customFormat="1" hidden="1" x14ac:dyDescent="0.2"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 t="s">
        <v>8</v>
      </c>
      <c r="Y29" s="8"/>
    </row>
  </sheetData>
  <sheetProtection algorithmName="SHA-512" hashValue="xOVWX5a+ck1HmEURC6RdmUX5BkzBESoQxviJhQvKqedDhEeICZgACpb2tnIk0HcAuhEoCuQth327OwC0cgcixg==" saltValue="vuFFNOYNi2Y82OyPyDHsBQ==" spinCount="100000" sheet="1" objects="1" scenarios="1"/>
  <mergeCells count="8">
    <mergeCell ref="AJ12:AJ14"/>
    <mergeCell ref="AK12:AK14"/>
    <mergeCell ref="B12:B14"/>
    <mergeCell ref="D12:J12"/>
    <mergeCell ref="K12:Q12"/>
    <mergeCell ref="R12:X12"/>
    <mergeCell ref="Y12:AE12"/>
    <mergeCell ref="AF12:AH12"/>
  </mergeCells>
  <conditionalFormatting sqref="AC5:AC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{0E0AFE10-E70F-CF42-B258-EEE7F8D8FA61}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0AFE10-E70F-CF42-B258-EEE7F8D8FA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AC5:AC7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D120-2DBE-614E-B4E9-271940862197}">
  <dimension ref="A1:XFC29"/>
  <sheetViews>
    <sheetView topLeftCell="B1" workbookViewId="0">
      <selection activeCell="G15" sqref="G15:G24"/>
    </sheetView>
  </sheetViews>
  <sheetFormatPr baseColWidth="10" defaultColWidth="0" defaultRowHeight="16" customHeight="1" zeroHeight="1" x14ac:dyDescent="0.2"/>
  <cols>
    <col min="1" max="1" width="11.1640625" hidden="1"/>
    <col min="2" max="2" width="31" style="43" customWidth="1"/>
    <col min="3" max="3" width="0.1640625" style="43" hidden="1"/>
    <col min="4" max="4" width="4.83203125" style="43" customWidth="1"/>
    <col min="5" max="5" width="3.6640625" style="44" customWidth="1"/>
    <col min="6" max="6" width="4.6640625" style="44" customWidth="1"/>
    <col min="7" max="7" width="4.1640625" style="44" customWidth="1"/>
    <col min="8" max="8" width="5.1640625" style="44" customWidth="1"/>
    <col min="9" max="9" width="5.5" style="44" customWidth="1"/>
    <col min="10" max="11" width="6.1640625" style="44" customWidth="1"/>
    <col min="12" max="12" width="6.33203125" style="44" customWidth="1"/>
    <col min="13" max="17" width="6.1640625" style="44" customWidth="1"/>
    <col min="18" max="18" width="5" style="44" customWidth="1"/>
    <col min="19" max="19" width="6.1640625" style="44" customWidth="1"/>
    <col min="20" max="20" width="6.5" style="44" customWidth="1"/>
    <col min="21" max="22" width="6.1640625" style="44" customWidth="1"/>
    <col min="23" max="24" width="5.83203125" style="44" customWidth="1"/>
    <col min="25" max="25" width="8" style="44" customWidth="1"/>
    <col min="26" max="26" width="5.83203125" style="43" customWidth="1"/>
    <col min="27" max="27" width="6.83203125" style="43" customWidth="1"/>
    <col min="28" max="28" width="5.6640625" style="43" customWidth="1"/>
    <col min="29" max="29" width="6" style="43" customWidth="1"/>
    <col min="30" max="30" width="7.33203125" style="43" customWidth="1"/>
    <col min="31" max="31" width="6.83203125" style="43" customWidth="1"/>
    <col min="32" max="32" width="7.1640625" style="43" customWidth="1"/>
    <col min="33" max="33" width="7.6640625" style="43" customWidth="1"/>
    <col min="34" max="34" width="8" style="43" hidden="1" customWidth="1"/>
    <col min="35" max="35" width="11.33203125" style="43" hidden="1"/>
    <col min="36" max="36" width="16.33203125" style="43" customWidth="1"/>
    <col min="37" max="37" width="20.5" customWidth="1"/>
    <col min="38" max="16377" width="11.1640625" hidden="1"/>
    <col min="16378" max="16378" width="14" hidden="1"/>
    <col min="16379" max="16379" width="14.5" hidden="1"/>
    <col min="16380" max="16382" width="0.1640625" hidden="1"/>
    <col min="16383" max="16383" width="20" hidden="1"/>
    <col min="16384" max="16384" width="31.1640625" hidden="1"/>
  </cols>
  <sheetData>
    <row r="1" spans="2:37" x14ac:dyDescent="0.2"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2:37" x14ac:dyDescent="0.2">
      <c r="B2" s="9" t="s">
        <v>27</v>
      </c>
      <c r="C2" s="5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3"/>
      <c r="AA2" s="3"/>
      <c r="AB2" s="3"/>
      <c r="AC2" s="3"/>
      <c r="AD2" s="3"/>
      <c r="AE2" s="3"/>
      <c r="AF2" s="3"/>
      <c r="AG2" s="3"/>
      <c r="AH2" s="3"/>
      <c r="AI2" s="3"/>
      <c r="AJ2" s="4"/>
      <c r="AK2" s="36" t="s">
        <v>30</v>
      </c>
    </row>
    <row r="3" spans="2:37" x14ac:dyDescent="0.2">
      <c r="B3" s="6">
        <v>46023</v>
      </c>
      <c r="C3" s="6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4"/>
      <c r="AK3" s="7">
        <f>COUNTIF(D27:AG27,"100%")</f>
        <v>0</v>
      </c>
    </row>
    <row r="4" spans="2:37" x14ac:dyDescent="0.2">
      <c r="B4" s="40" t="s">
        <v>0</v>
      </c>
      <c r="C4" s="5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3"/>
      <c r="AA4" s="3"/>
      <c r="AB4" s="3"/>
      <c r="AC4" s="3"/>
      <c r="AD4" s="3"/>
      <c r="AE4" s="3"/>
      <c r="AF4" s="3"/>
      <c r="AG4" s="3"/>
      <c r="AH4" s="3"/>
      <c r="AI4" s="3"/>
      <c r="AJ4" s="4"/>
      <c r="AK4" s="37" t="s">
        <v>31</v>
      </c>
    </row>
    <row r="5" spans="2:37" x14ac:dyDescent="0.2">
      <c r="B5" s="4" t="str">
        <f>_xlfn.XLOOKUP(MAX(AJ15:AJ24),AJ15:AJ24,B15:B24)</f>
        <v>Daily Exercise</v>
      </c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3"/>
      <c r="AA5" s="3"/>
      <c r="AB5" s="3"/>
      <c r="AC5" s="3"/>
      <c r="AD5" s="3"/>
      <c r="AE5" s="3"/>
      <c r="AF5" s="3"/>
      <c r="AG5" s="3"/>
      <c r="AH5" s="3"/>
      <c r="AI5" s="3"/>
      <c r="AJ5" s="4"/>
      <c r="AK5" s="7">
        <f>COUNTIF(D27:AG27,"&gt;50%")</f>
        <v>0</v>
      </c>
    </row>
    <row r="6" spans="2:37" x14ac:dyDescent="0.2">
      <c r="B6" s="4" t="s">
        <v>22</v>
      </c>
      <c r="C6" s="4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3"/>
      <c r="AA6" s="3"/>
      <c r="AB6" s="3"/>
      <c r="AC6" s="3"/>
      <c r="AD6" s="3"/>
      <c r="AE6" s="3"/>
      <c r="AF6" s="3"/>
      <c r="AG6" s="3"/>
      <c r="AH6" s="3"/>
      <c r="AI6" s="3"/>
      <c r="AJ6" s="4"/>
      <c r="AK6" s="3"/>
    </row>
    <row r="7" spans="2:37" x14ac:dyDescent="0.2">
      <c r="B7" s="39" t="s">
        <v>1</v>
      </c>
      <c r="C7" s="5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4"/>
      <c r="AK7" s="38" t="s">
        <v>32</v>
      </c>
    </row>
    <row r="8" spans="2:37" x14ac:dyDescent="0.2">
      <c r="B8" s="4" t="s">
        <v>34</v>
      </c>
      <c r="C8" s="4"/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3"/>
      <c r="AA8" s="3"/>
      <c r="AB8" s="3"/>
      <c r="AC8" s="3"/>
      <c r="AD8" s="3"/>
      <c r="AE8" s="3"/>
      <c r="AF8" s="3"/>
      <c r="AG8" s="3"/>
      <c r="AH8" s="3"/>
      <c r="AI8" s="3"/>
      <c r="AJ8" s="4"/>
      <c r="AK8" s="7">
        <f>COUNTIF(D27:AG27,"0%")</f>
        <v>30</v>
      </c>
    </row>
    <row r="9" spans="2:37" x14ac:dyDescent="0.2">
      <c r="B9" s="4" t="s">
        <v>35</v>
      </c>
      <c r="C9" s="4"/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3"/>
      <c r="AA9" s="3"/>
      <c r="AB9" s="3"/>
      <c r="AC9" s="3"/>
      <c r="AD9" s="3"/>
      <c r="AE9" s="3"/>
      <c r="AF9" s="3"/>
      <c r="AG9" s="3"/>
      <c r="AH9" s="3"/>
      <c r="AI9" s="3"/>
      <c r="AJ9" s="4"/>
      <c r="AK9" s="7"/>
    </row>
    <row r="10" spans="2:37" x14ac:dyDescent="0.2">
      <c r="B10" s="4" t="s">
        <v>36</v>
      </c>
      <c r="C10" s="4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4"/>
      <c r="AK10" s="7"/>
    </row>
    <row r="11" spans="2:37" x14ac:dyDescent="0.2">
      <c r="B11" s="4"/>
      <c r="C11" s="4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4"/>
      <c r="AK11" s="7"/>
    </row>
    <row r="12" spans="2:37" ht="16" customHeight="1" x14ac:dyDescent="0.2">
      <c r="B12" s="45" t="s">
        <v>25</v>
      </c>
      <c r="C12" s="18"/>
      <c r="D12" s="53" t="s">
        <v>26</v>
      </c>
      <c r="E12" s="53"/>
      <c r="F12" s="53"/>
      <c r="G12" s="53"/>
      <c r="H12" s="53"/>
      <c r="I12" s="53"/>
      <c r="J12" s="53"/>
      <c r="K12" s="54" t="s">
        <v>2</v>
      </c>
      <c r="L12" s="54"/>
      <c r="M12" s="54"/>
      <c r="N12" s="54"/>
      <c r="O12" s="54"/>
      <c r="P12" s="54"/>
      <c r="Q12" s="54"/>
      <c r="R12" s="55" t="s">
        <v>3</v>
      </c>
      <c r="S12" s="55"/>
      <c r="T12" s="55"/>
      <c r="U12" s="55"/>
      <c r="V12" s="55"/>
      <c r="W12" s="55"/>
      <c r="X12" s="55"/>
      <c r="Y12" s="56" t="s">
        <v>9</v>
      </c>
      <c r="Z12" s="56"/>
      <c r="AA12" s="56"/>
      <c r="AB12" s="56"/>
      <c r="AC12" s="56"/>
      <c r="AD12" s="56"/>
      <c r="AE12" s="56"/>
      <c r="AF12" s="57" t="s">
        <v>17</v>
      </c>
      <c r="AG12" s="57"/>
      <c r="AH12" s="57"/>
      <c r="AI12" s="24"/>
      <c r="AJ12" s="47" t="s">
        <v>28</v>
      </c>
      <c r="AK12" s="50" t="s">
        <v>29</v>
      </c>
    </row>
    <row r="13" spans="2:37" s="2" customFormat="1" x14ac:dyDescent="0.2">
      <c r="B13" s="46"/>
      <c r="C13" s="18"/>
      <c r="D13" s="19" t="s">
        <v>12</v>
      </c>
      <c r="E13" s="19" t="s">
        <v>13</v>
      </c>
      <c r="F13" s="19" t="s">
        <v>14</v>
      </c>
      <c r="G13" s="19" t="s">
        <v>15</v>
      </c>
      <c r="H13" s="19" t="s">
        <v>16</v>
      </c>
      <c r="I13" s="19" t="s">
        <v>10</v>
      </c>
      <c r="J13" s="19" t="s">
        <v>11</v>
      </c>
      <c r="K13" s="28" t="s">
        <v>12</v>
      </c>
      <c r="L13" s="28" t="s">
        <v>13</v>
      </c>
      <c r="M13" s="28" t="s">
        <v>14</v>
      </c>
      <c r="N13" s="28" t="s">
        <v>15</v>
      </c>
      <c r="O13" s="28" t="s">
        <v>16</v>
      </c>
      <c r="P13" s="28" t="s">
        <v>10</v>
      </c>
      <c r="Q13" s="28" t="s">
        <v>11</v>
      </c>
      <c r="R13" s="29" t="s">
        <v>12</v>
      </c>
      <c r="S13" s="29" t="s">
        <v>13</v>
      </c>
      <c r="T13" s="29" t="s">
        <v>14</v>
      </c>
      <c r="U13" s="29" t="s">
        <v>15</v>
      </c>
      <c r="V13" s="29" t="s">
        <v>16</v>
      </c>
      <c r="W13" s="29" t="s">
        <v>10</v>
      </c>
      <c r="X13" s="29" t="s">
        <v>11</v>
      </c>
      <c r="Y13" s="30" t="s">
        <v>12</v>
      </c>
      <c r="Z13" s="30" t="s">
        <v>13</v>
      </c>
      <c r="AA13" s="30" t="s">
        <v>14</v>
      </c>
      <c r="AB13" s="30" t="s">
        <v>15</v>
      </c>
      <c r="AC13" s="30" t="s">
        <v>16</v>
      </c>
      <c r="AD13" s="30" t="s">
        <v>10</v>
      </c>
      <c r="AE13" s="30" t="s">
        <v>11</v>
      </c>
      <c r="AF13" s="23" t="s">
        <v>12</v>
      </c>
      <c r="AG13" s="25" t="s">
        <v>13</v>
      </c>
      <c r="AH13" s="25" t="s">
        <v>14</v>
      </c>
      <c r="AI13" s="26"/>
      <c r="AJ13" s="48"/>
      <c r="AK13" s="51"/>
    </row>
    <row r="14" spans="2:37" s="2" customFormat="1" x14ac:dyDescent="0.2">
      <c r="B14" s="46"/>
      <c r="C14" s="18"/>
      <c r="D14" s="27" cm="1">
        <f t="array" ref="D14:X14">_xlfn.SEQUENCE(,21)</f>
        <v>1</v>
      </c>
      <c r="E14" s="27">
        <v>2</v>
      </c>
      <c r="F14" s="27">
        <v>3</v>
      </c>
      <c r="G14" s="27">
        <v>4</v>
      </c>
      <c r="H14" s="27">
        <v>5</v>
      </c>
      <c r="I14" s="27">
        <v>6</v>
      </c>
      <c r="J14" s="27">
        <v>7</v>
      </c>
      <c r="K14" s="28">
        <v>8</v>
      </c>
      <c r="L14" s="28">
        <v>9</v>
      </c>
      <c r="M14" s="28">
        <v>10</v>
      </c>
      <c r="N14" s="28">
        <v>11</v>
      </c>
      <c r="O14" s="28">
        <v>12</v>
      </c>
      <c r="P14" s="28">
        <v>13</v>
      </c>
      <c r="Q14" s="28">
        <v>14</v>
      </c>
      <c r="R14" s="29">
        <v>15</v>
      </c>
      <c r="S14" s="29">
        <v>16</v>
      </c>
      <c r="T14" s="29">
        <v>17</v>
      </c>
      <c r="U14" s="29">
        <v>18</v>
      </c>
      <c r="V14" s="29">
        <v>19</v>
      </c>
      <c r="W14" s="29">
        <v>20</v>
      </c>
      <c r="X14" s="29">
        <v>21</v>
      </c>
      <c r="Y14" s="30">
        <v>22</v>
      </c>
      <c r="Z14" s="30">
        <v>23</v>
      </c>
      <c r="AA14" s="30">
        <v>24</v>
      </c>
      <c r="AB14" s="30">
        <v>25</v>
      </c>
      <c r="AC14" s="30">
        <v>26</v>
      </c>
      <c r="AD14" s="30">
        <v>27</v>
      </c>
      <c r="AE14" s="30">
        <v>28</v>
      </c>
      <c r="AF14" s="31">
        <v>29</v>
      </c>
      <c r="AG14" s="32">
        <v>30</v>
      </c>
      <c r="AH14" s="32">
        <v>31</v>
      </c>
      <c r="AI14" s="26"/>
      <c r="AJ14" s="49"/>
      <c r="AK14" s="52"/>
    </row>
    <row r="15" spans="2:37" x14ac:dyDescent="0.2">
      <c r="B15" s="24" t="s">
        <v>4</v>
      </c>
      <c r="C15" s="24"/>
      <c r="D15" s="33" t="b">
        <v>0</v>
      </c>
      <c r="E15" s="33" t="b">
        <v>0</v>
      </c>
      <c r="F15" s="33" t="b">
        <v>0</v>
      </c>
      <c r="G15" s="33" t="b">
        <v>0</v>
      </c>
      <c r="H15" s="33" t="b">
        <v>0</v>
      </c>
      <c r="I15" s="33" t="b">
        <v>0</v>
      </c>
      <c r="J15" s="33" t="b">
        <v>0</v>
      </c>
      <c r="K15" s="33" t="b">
        <v>0</v>
      </c>
      <c r="L15" s="33" t="b">
        <v>0</v>
      </c>
      <c r="M15" s="33" t="b">
        <v>0</v>
      </c>
      <c r="N15" s="33" t="b">
        <v>0</v>
      </c>
      <c r="O15" s="33" t="b">
        <v>0</v>
      </c>
      <c r="P15" s="33" t="b">
        <v>0</v>
      </c>
      <c r="Q15" s="33" t="b">
        <v>0</v>
      </c>
      <c r="R15" s="33" t="b">
        <v>0</v>
      </c>
      <c r="S15" s="33" t="b">
        <v>0</v>
      </c>
      <c r="T15" s="33" t="b">
        <v>0</v>
      </c>
      <c r="U15" s="33" t="b">
        <v>0</v>
      </c>
      <c r="V15" s="33" t="b">
        <v>0</v>
      </c>
      <c r="W15" s="33" t="b">
        <v>0</v>
      </c>
      <c r="X15" s="33" t="b">
        <v>0</v>
      </c>
      <c r="Y15" s="33" t="b">
        <v>0</v>
      </c>
      <c r="Z15" s="33" t="b">
        <v>0</v>
      </c>
      <c r="AA15" s="33" t="b">
        <v>0</v>
      </c>
      <c r="AB15" s="33" t="b">
        <v>0</v>
      </c>
      <c r="AC15" s="33" t="b">
        <v>0</v>
      </c>
      <c r="AD15" s="33" t="b">
        <v>0</v>
      </c>
      <c r="AE15" s="33" t="b">
        <v>0</v>
      </c>
      <c r="AF15" s="33" t="b">
        <v>0</v>
      </c>
      <c r="AG15" s="33" t="b">
        <v>0</v>
      </c>
      <c r="AH15" s="33" t="b">
        <v>0</v>
      </c>
      <c r="AI15" s="24"/>
      <c r="AJ15" s="34">
        <f t="shared" ref="AJ15:AJ24" si="0">COUNTIF(D15:AG15,"TRUE")</f>
        <v>0</v>
      </c>
      <c r="AK15" s="35" t="str">
        <f t="shared" ref="AK15:AK24" si="1">REPT("|",AJ15*4)</f>
        <v/>
      </c>
    </row>
    <row r="16" spans="2:37" x14ac:dyDescent="0.2">
      <c r="B16" s="24" t="s">
        <v>18</v>
      </c>
      <c r="C16" s="24"/>
      <c r="D16" s="33" t="b">
        <v>0</v>
      </c>
      <c r="E16" s="33" t="b">
        <v>0</v>
      </c>
      <c r="F16" s="33" t="b">
        <v>0</v>
      </c>
      <c r="G16" s="33" t="b">
        <v>0</v>
      </c>
      <c r="H16" s="33" t="b">
        <v>0</v>
      </c>
      <c r="I16" s="33" t="b">
        <v>0</v>
      </c>
      <c r="J16" s="33" t="b">
        <v>0</v>
      </c>
      <c r="K16" s="33" t="b">
        <v>0</v>
      </c>
      <c r="L16" s="33" t="b">
        <v>0</v>
      </c>
      <c r="M16" s="33" t="b">
        <v>0</v>
      </c>
      <c r="N16" s="33" t="b">
        <v>0</v>
      </c>
      <c r="O16" s="33" t="b">
        <v>0</v>
      </c>
      <c r="P16" s="33" t="b">
        <v>0</v>
      </c>
      <c r="Q16" s="33" t="b">
        <v>0</v>
      </c>
      <c r="R16" s="33" t="b">
        <v>0</v>
      </c>
      <c r="S16" s="33" t="b">
        <v>0</v>
      </c>
      <c r="T16" s="33" t="b">
        <v>0</v>
      </c>
      <c r="U16" s="33" t="b">
        <v>0</v>
      </c>
      <c r="V16" s="33" t="b">
        <v>0</v>
      </c>
      <c r="W16" s="33" t="b">
        <v>0</v>
      </c>
      <c r="X16" s="33" t="b">
        <v>0</v>
      </c>
      <c r="Y16" s="33" t="b">
        <v>0</v>
      </c>
      <c r="Z16" s="33" t="b">
        <v>0</v>
      </c>
      <c r="AA16" s="33" t="b">
        <v>0</v>
      </c>
      <c r="AB16" s="33" t="b">
        <v>0</v>
      </c>
      <c r="AC16" s="33" t="b">
        <v>0</v>
      </c>
      <c r="AD16" s="33" t="b">
        <v>0</v>
      </c>
      <c r="AE16" s="33" t="b">
        <v>0</v>
      </c>
      <c r="AF16" s="33" t="b">
        <v>0</v>
      </c>
      <c r="AG16" s="33" t="b">
        <v>0</v>
      </c>
      <c r="AH16" s="33" t="b">
        <v>0</v>
      </c>
      <c r="AI16" s="24"/>
      <c r="AJ16" s="34">
        <f t="shared" si="0"/>
        <v>0</v>
      </c>
      <c r="AK16" s="35" t="str">
        <f t="shared" si="1"/>
        <v/>
      </c>
    </row>
    <row r="17" spans="2:37" x14ac:dyDescent="0.2">
      <c r="B17" s="24" t="s">
        <v>19</v>
      </c>
      <c r="C17" s="24"/>
      <c r="D17" s="33" t="b">
        <v>0</v>
      </c>
      <c r="E17" s="33" t="b">
        <v>0</v>
      </c>
      <c r="F17" s="33" t="b">
        <v>0</v>
      </c>
      <c r="G17" s="33" t="b">
        <v>0</v>
      </c>
      <c r="H17" s="33" t="b">
        <v>0</v>
      </c>
      <c r="I17" s="33" t="b">
        <v>0</v>
      </c>
      <c r="J17" s="33" t="b">
        <v>0</v>
      </c>
      <c r="K17" s="33" t="b">
        <v>0</v>
      </c>
      <c r="L17" s="33" t="b">
        <v>0</v>
      </c>
      <c r="M17" s="33" t="b">
        <v>0</v>
      </c>
      <c r="N17" s="33" t="b">
        <v>0</v>
      </c>
      <c r="O17" s="33" t="b">
        <v>0</v>
      </c>
      <c r="P17" s="33" t="b">
        <v>0</v>
      </c>
      <c r="Q17" s="33" t="b">
        <v>0</v>
      </c>
      <c r="R17" s="33" t="b">
        <v>0</v>
      </c>
      <c r="S17" s="33" t="b">
        <v>0</v>
      </c>
      <c r="T17" s="33" t="b">
        <v>0</v>
      </c>
      <c r="U17" s="33" t="b">
        <v>0</v>
      </c>
      <c r="V17" s="33" t="b">
        <v>0</v>
      </c>
      <c r="W17" s="33" t="b">
        <v>0</v>
      </c>
      <c r="X17" s="33" t="b">
        <v>0</v>
      </c>
      <c r="Y17" s="33" t="b">
        <v>0</v>
      </c>
      <c r="Z17" s="33" t="b">
        <v>0</v>
      </c>
      <c r="AA17" s="33" t="b">
        <v>0</v>
      </c>
      <c r="AB17" s="33" t="b">
        <v>0</v>
      </c>
      <c r="AC17" s="33" t="b">
        <v>0</v>
      </c>
      <c r="AD17" s="33" t="b">
        <v>0</v>
      </c>
      <c r="AE17" s="33" t="b">
        <v>0</v>
      </c>
      <c r="AF17" s="33" t="b">
        <v>0</v>
      </c>
      <c r="AG17" s="33" t="b">
        <v>0</v>
      </c>
      <c r="AH17" s="33" t="b">
        <v>0</v>
      </c>
      <c r="AI17" s="24"/>
      <c r="AJ17" s="34">
        <f t="shared" si="0"/>
        <v>0</v>
      </c>
      <c r="AK17" s="35" t="str">
        <f t="shared" si="1"/>
        <v/>
      </c>
    </row>
    <row r="18" spans="2:37" x14ac:dyDescent="0.2">
      <c r="B18" s="24" t="s">
        <v>33</v>
      </c>
      <c r="C18" s="24"/>
      <c r="D18" s="33" t="b">
        <v>0</v>
      </c>
      <c r="E18" s="33" t="b">
        <v>0</v>
      </c>
      <c r="F18" s="33" t="b">
        <v>0</v>
      </c>
      <c r="G18" s="33" t="b">
        <v>0</v>
      </c>
      <c r="H18" s="33" t="b">
        <v>0</v>
      </c>
      <c r="I18" s="33" t="b">
        <v>0</v>
      </c>
      <c r="J18" s="33" t="b">
        <v>0</v>
      </c>
      <c r="K18" s="33" t="b">
        <v>0</v>
      </c>
      <c r="L18" s="33" t="b">
        <v>0</v>
      </c>
      <c r="M18" s="33" t="b">
        <v>0</v>
      </c>
      <c r="N18" s="33" t="b">
        <v>0</v>
      </c>
      <c r="O18" s="33" t="b">
        <v>0</v>
      </c>
      <c r="P18" s="33" t="b">
        <v>0</v>
      </c>
      <c r="Q18" s="33" t="b">
        <v>0</v>
      </c>
      <c r="R18" s="33" t="b">
        <v>0</v>
      </c>
      <c r="S18" s="33" t="b">
        <v>0</v>
      </c>
      <c r="T18" s="33" t="b">
        <v>0</v>
      </c>
      <c r="U18" s="33" t="b">
        <v>0</v>
      </c>
      <c r="V18" s="33" t="b">
        <v>0</v>
      </c>
      <c r="W18" s="33" t="b">
        <v>0</v>
      </c>
      <c r="X18" s="33" t="b">
        <v>0</v>
      </c>
      <c r="Y18" s="33" t="b">
        <v>0</v>
      </c>
      <c r="Z18" s="33" t="b">
        <v>0</v>
      </c>
      <c r="AA18" s="33" t="b">
        <v>0</v>
      </c>
      <c r="AB18" s="33" t="b">
        <v>0</v>
      </c>
      <c r="AC18" s="33" t="b">
        <v>0</v>
      </c>
      <c r="AD18" s="33" t="b">
        <v>0</v>
      </c>
      <c r="AE18" s="33" t="b">
        <v>0</v>
      </c>
      <c r="AF18" s="33" t="b">
        <v>0</v>
      </c>
      <c r="AG18" s="33" t="b">
        <v>0</v>
      </c>
      <c r="AH18" s="33" t="b">
        <v>0</v>
      </c>
      <c r="AI18" s="24"/>
      <c r="AJ18" s="34">
        <f t="shared" si="0"/>
        <v>0</v>
      </c>
      <c r="AK18" s="35" t="str">
        <f t="shared" si="1"/>
        <v/>
      </c>
    </row>
    <row r="19" spans="2:37" x14ac:dyDescent="0.2">
      <c r="B19" s="24" t="s">
        <v>21</v>
      </c>
      <c r="C19" s="24"/>
      <c r="D19" s="33" t="b">
        <v>0</v>
      </c>
      <c r="E19" s="33" t="b">
        <v>0</v>
      </c>
      <c r="F19" s="33" t="b">
        <v>0</v>
      </c>
      <c r="G19" s="33" t="b">
        <v>0</v>
      </c>
      <c r="H19" s="33" t="b">
        <v>0</v>
      </c>
      <c r="I19" s="33" t="b">
        <v>0</v>
      </c>
      <c r="J19" s="33" t="b">
        <v>0</v>
      </c>
      <c r="K19" s="33" t="b">
        <v>0</v>
      </c>
      <c r="L19" s="33" t="b">
        <v>0</v>
      </c>
      <c r="M19" s="33" t="b">
        <v>0</v>
      </c>
      <c r="N19" s="33" t="b">
        <v>0</v>
      </c>
      <c r="O19" s="33" t="b">
        <v>0</v>
      </c>
      <c r="P19" s="33" t="b">
        <v>0</v>
      </c>
      <c r="Q19" s="33" t="b">
        <v>0</v>
      </c>
      <c r="R19" s="33" t="b">
        <v>0</v>
      </c>
      <c r="S19" s="33" t="b">
        <v>0</v>
      </c>
      <c r="T19" s="33" t="b">
        <v>0</v>
      </c>
      <c r="U19" s="33" t="b">
        <v>0</v>
      </c>
      <c r="V19" s="33" t="b">
        <v>0</v>
      </c>
      <c r="W19" s="33" t="b">
        <v>0</v>
      </c>
      <c r="X19" s="33" t="b">
        <v>0</v>
      </c>
      <c r="Y19" s="33" t="b">
        <v>0</v>
      </c>
      <c r="Z19" s="33" t="b">
        <v>0</v>
      </c>
      <c r="AA19" s="33" t="b">
        <v>0</v>
      </c>
      <c r="AB19" s="33" t="b">
        <v>0</v>
      </c>
      <c r="AC19" s="33" t="b">
        <v>0</v>
      </c>
      <c r="AD19" s="33" t="b">
        <v>0</v>
      </c>
      <c r="AE19" s="33" t="b">
        <v>0</v>
      </c>
      <c r="AF19" s="33" t="b">
        <v>0</v>
      </c>
      <c r="AG19" s="33" t="b">
        <v>0</v>
      </c>
      <c r="AH19" s="33" t="b">
        <v>0</v>
      </c>
      <c r="AI19" s="24"/>
      <c r="AJ19" s="34">
        <f t="shared" si="0"/>
        <v>0</v>
      </c>
      <c r="AK19" s="35" t="str">
        <f t="shared" si="1"/>
        <v/>
      </c>
    </row>
    <row r="20" spans="2:37" x14ac:dyDescent="0.2">
      <c r="B20" s="24" t="s">
        <v>20</v>
      </c>
      <c r="C20" s="24"/>
      <c r="D20" s="33" t="b">
        <v>0</v>
      </c>
      <c r="E20" s="33" t="b">
        <v>0</v>
      </c>
      <c r="F20" s="33" t="b">
        <v>0</v>
      </c>
      <c r="G20" s="33" t="b">
        <v>0</v>
      </c>
      <c r="H20" s="33" t="b">
        <v>0</v>
      </c>
      <c r="I20" s="33" t="b">
        <v>0</v>
      </c>
      <c r="J20" s="33" t="b">
        <v>0</v>
      </c>
      <c r="K20" s="33" t="b">
        <v>0</v>
      </c>
      <c r="L20" s="33" t="b">
        <v>0</v>
      </c>
      <c r="M20" s="33" t="b">
        <v>0</v>
      </c>
      <c r="N20" s="33" t="b">
        <v>0</v>
      </c>
      <c r="O20" s="33" t="b">
        <v>0</v>
      </c>
      <c r="P20" s="33" t="b">
        <v>0</v>
      </c>
      <c r="Q20" s="33" t="b">
        <v>0</v>
      </c>
      <c r="R20" s="33" t="b">
        <v>0</v>
      </c>
      <c r="S20" s="33" t="b">
        <v>0</v>
      </c>
      <c r="T20" s="33" t="b">
        <v>0</v>
      </c>
      <c r="U20" s="33" t="b">
        <v>0</v>
      </c>
      <c r="V20" s="33" t="b">
        <v>0</v>
      </c>
      <c r="W20" s="33" t="b">
        <v>0</v>
      </c>
      <c r="X20" s="33" t="b">
        <v>0</v>
      </c>
      <c r="Y20" s="33" t="b">
        <v>0</v>
      </c>
      <c r="Z20" s="33" t="b">
        <v>0</v>
      </c>
      <c r="AA20" s="33" t="b">
        <v>0</v>
      </c>
      <c r="AB20" s="33" t="b">
        <v>0</v>
      </c>
      <c r="AC20" s="33" t="b">
        <v>0</v>
      </c>
      <c r="AD20" s="33" t="b">
        <v>0</v>
      </c>
      <c r="AE20" s="33" t="b">
        <v>0</v>
      </c>
      <c r="AF20" s="33" t="b">
        <v>0</v>
      </c>
      <c r="AG20" s="33" t="b">
        <v>0</v>
      </c>
      <c r="AH20" s="33" t="b">
        <v>0</v>
      </c>
      <c r="AI20" s="24"/>
      <c r="AJ20" s="34">
        <f t="shared" si="0"/>
        <v>0</v>
      </c>
      <c r="AK20" s="35" t="str">
        <f t="shared" si="1"/>
        <v/>
      </c>
    </row>
    <row r="21" spans="2:37" x14ac:dyDescent="0.2">
      <c r="B21" s="24" t="s">
        <v>22</v>
      </c>
      <c r="C21" s="24"/>
      <c r="D21" s="33" t="b">
        <v>0</v>
      </c>
      <c r="E21" s="33" t="b">
        <v>0</v>
      </c>
      <c r="F21" s="33" t="b">
        <v>0</v>
      </c>
      <c r="G21" s="33" t="b">
        <v>0</v>
      </c>
      <c r="H21" s="33" t="b">
        <v>0</v>
      </c>
      <c r="I21" s="33" t="b">
        <v>0</v>
      </c>
      <c r="J21" s="33" t="b">
        <v>0</v>
      </c>
      <c r="K21" s="33" t="b">
        <v>0</v>
      </c>
      <c r="L21" s="33" t="b">
        <v>0</v>
      </c>
      <c r="M21" s="33" t="b">
        <v>0</v>
      </c>
      <c r="N21" s="33" t="b">
        <v>0</v>
      </c>
      <c r="O21" s="33" t="b">
        <v>0</v>
      </c>
      <c r="P21" s="33" t="b">
        <v>0</v>
      </c>
      <c r="Q21" s="33" t="b">
        <v>0</v>
      </c>
      <c r="R21" s="33" t="b">
        <v>0</v>
      </c>
      <c r="S21" s="33" t="b">
        <v>0</v>
      </c>
      <c r="T21" s="33" t="b">
        <v>0</v>
      </c>
      <c r="U21" s="33" t="b">
        <v>0</v>
      </c>
      <c r="V21" s="33" t="b">
        <v>0</v>
      </c>
      <c r="W21" s="33" t="b">
        <v>0</v>
      </c>
      <c r="X21" s="33" t="b">
        <v>0</v>
      </c>
      <c r="Y21" s="33" t="b">
        <v>0</v>
      </c>
      <c r="Z21" s="33" t="b">
        <v>0</v>
      </c>
      <c r="AA21" s="33" t="b">
        <v>0</v>
      </c>
      <c r="AB21" s="33" t="b">
        <v>0</v>
      </c>
      <c r="AC21" s="33" t="b">
        <v>0</v>
      </c>
      <c r="AD21" s="33" t="b">
        <v>0</v>
      </c>
      <c r="AE21" s="33" t="b">
        <v>0</v>
      </c>
      <c r="AF21" s="33" t="b">
        <v>0</v>
      </c>
      <c r="AG21" s="33" t="b">
        <v>0</v>
      </c>
      <c r="AH21" s="33" t="b">
        <v>0</v>
      </c>
      <c r="AI21" s="24"/>
      <c r="AJ21" s="34">
        <f t="shared" si="0"/>
        <v>0</v>
      </c>
      <c r="AK21" s="35" t="str">
        <f t="shared" si="1"/>
        <v/>
      </c>
    </row>
    <row r="22" spans="2:37" x14ac:dyDescent="0.2">
      <c r="B22" s="24" t="s">
        <v>5</v>
      </c>
      <c r="C22" s="24"/>
      <c r="D22" s="33" t="b">
        <v>0</v>
      </c>
      <c r="E22" s="33" t="b">
        <v>0</v>
      </c>
      <c r="F22" s="33" t="b">
        <v>0</v>
      </c>
      <c r="G22" s="33" t="b">
        <v>0</v>
      </c>
      <c r="H22" s="33" t="b">
        <v>0</v>
      </c>
      <c r="I22" s="33" t="b">
        <v>0</v>
      </c>
      <c r="J22" s="33" t="b">
        <v>0</v>
      </c>
      <c r="K22" s="33" t="b">
        <v>0</v>
      </c>
      <c r="L22" s="33" t="b">
        <v>0</v>
      </c>
      <c r="M22" s="33" t="b">
        <v>0</v>
      </c>
      <c r="N22" s="33" t="b">
        <v>0</v>
      </c>
      <c r="O22" s="33" t="b">
        <v>0</v>
      </c>
      <c r="P22" s="33" t="b">
        <v>0</v>
      </c>
      <c r="Q22" s="33" t="b">
        <v>0</v>
      </c>
      <c r="R22" s="33" t="b">
        <v>0</v>
      </c>
      <c r="S22" s="33" t="b">
        <v>0</v>
      </c>
      <c r="T22" s="33" t="b">
        <v>0</v>
      </c>
      <c r="U22" s="33" t="b">
        <v>0</v>
      </c>
      <c r="V22" s="33" t="b">
        <v>0</v>
      </c>
      <c r="W22" s="33" t="b">
        <v>0</v>
      </c>
      <c r="X22" s="33" t="b">
        <v>0</v>
      </c>
      <c r="Y22" s="33" t="b">
        <v>0</v>
      </c>
      <c r="Z22" s="33" t="b">
        <v>0</v>
      </c>
      <c r="AA22" s="33" t="b">
        <v>0</v>
      </c>
      <c r="AB22" s="33" t="b">
        <v>0</v>
      </c>
      <c r="AC22" s="33" t="b">
        <v>0</v>
      </c>
      <c r="AD22" s="33" t="b">
        <v>0</v>
      </c>
      <c r="AE22" s="33" t="b">
        <v>0</v>
      </c>
      <c r="AF22" s="33" t="b">
        <v>0</v>
      </c>
      <c r="AG22" s="33" t="b">
        <v>0</v>
      </c>
      <c r="AH22" s="33" t="b">
        <v>0</v>
      </c>
      <c r="AI22" s="24"/>
      <c r="AJ22" s="34">
        <f t="shared" si="0"/>
        <v>0</v>
      </c>
      <c r="AK22" s="35" t="str">
        <f t="shared" si="1"/>
        <v/>
      </c>
    </row>
    <row r="23" spans="2:37" x14ac:dyDescent="0.2">
      <c r="B23" s="24" t="s">
        <v>23</v>
      </c>
      <c r="C23" s="24"/>
      <c r="D23" s="33" t="b">
        <v>0</v>
      </c>
      <c r="E23" s="33" t="b">
        <v>0</v>
      </c>
      <c r="F23" s="33" t="b">
        <v>0</v>
      </c>
      <c r="G23" s="33" t="b">
        <v>0</v>
      </c>
      <c r="H23" s="33" t="b">
        <v>0</v>
      </c>
      <c r="I23" s="33" t="b">
        <v>0</v>
      </c>
      <c r="J23" s="33" t="b">
        <v>0</v>
      </c>
      <c r="K23" s="33" t="b">
        <v>0</v>
      </c>
      <c r="L23" s="33" t="b">
        <v>0</v>
      </c>
      <c r="M23" s="33" t="b">
        <v>0</v>
      </c>
      <c r="N23" s="33" t="b">
        <v>0</v>
      </c>
      <c r="O23" s="33" t="b">
        <v>0</v>
      </c>
      <c r="P23" s="33" t="b">
        <v>0</v>
      </c>
      <c r="Q23" s="33" t="b">
        <v>0</v>
      </c>
      <c r="R23" s="33" t="b">
        <v>0</v>
      </c>
      <c r="S23" s="33" t="b">
        <v>0</v>
      </c>
      <c r="T23" s="33" t="b">
        <v>0</v>
      </c>
      <c r="U23" s="33" t="b">
        <v>0</v>
      </c>
      <c r="V23" s="33" t="b">
        <v>0</v>
      </c>
      <c r="W23" s="33" t="b">
        <v>0</v>
      </c>
      <c r="X23" s="33" t="b">
        <v>0</v>
      </c>
      <c r="Y23" s="33" t="b">
        <v>0</v>
      </c>
      <c r="Z23" s="33" t="b">
        <v>0</v>
      </c>
      <c r="AA23" s="33" t="b">
        <v>0</v>
      </c>
      <c r="AB23" s="33" t="b">
        <v>0</v>
      </c>
      <c r="AC23" s="33" t="b">
        <v>0</v>
      </c>
      <c r="AD23" s="33" t="b">
        <v>0</v>
      </c>
      <c r="AE23" s="33" t="b">
        <v>0</v>
      </c>
      <c r="AF23" s="33" t="b">
        <v>0</v>
      </c>
      <c r="AG23" s="33" t="b">
        <v>0</v>
      </c>
      <c r="AH23" s="33" t="b">
        <v>0</v>
      </c>
      <c r="AI23" s="24"/>
      <c r="AJ23" s="34">
        <f t="shared" si="0"/>
        <v>0</v>
      </c>
      <c r="AK23" s="35" t="str">
        <f t="shared" si="1"/>
        <v/>
      </c>
    </row>
    <row r="24" spans="2:37" x14ac:dyDescent="0.2">
      <c r="B24" s="24" t="s">
        <v>24</v>
      </c>
      <c r="C24" s="24"/>
      <c r="D24" s="33" t="b">
        <v>0</v>
      </c>
      <c r="E24" s="33" t="b">
        <v>0</v>
      </c>
      <c r="F24" s="33" t="b">
        <v>0</v>
      </c>
      <c r="G24" s="33" t="b">
        <v>0</v>
      </c>
      <c r="H24" s="33" t="b">
        <v>0</v>
      </c>
      <c r="I24" s="33" t="b">
        <v>0</v>
      </c>
      <c r="J24" s="33" t="b">
        <v>0</v>
      </c>
      <c r="K24" s="33" t="b">
        <v>0</v>
      </c>
      <c r="L24" s="33" t="b">
        <v>0</v>
      </c>
      <c r="M24" s="33" t="b">
        <v>0</v>
      </c>
      <c r="N24" s="33" t="b">
        <v>0</v>
      </c>
      <c r="O24" s="33" t="b">
        <v>0</v>
      </c>
      <c r="P24" s="33" t="b">
        <v>0</v>
      </c>
      <c r="Q24" s="33" t="b">
        <v>0</v>
      </c>
      <c r="R24" s="33" t="b">
        <v>0</v>
      </c>
      <c r="S24" s="33" t="b">
        <v>0</v>
      </c>
      <c r="T24" s="33" t="b">
        <v>0</v>
      </c>
      <c r="U24" s="33" t="b">
        <v>0</v>
      </c>
      <c r="V24" s="33" t="b">
        <v>0</v>
      </c>
      <c r="W24" s="33" t="b">
        <v>0</v>
      </c>
      <c r="X24" s="33" t="b">
        <v>0</v>
      </c>
      <c r="Y24" s="33" t="b">
        <v>0</v>
      </c>
      <c r="Z24" s="33" t="b">
        <v>0</v>
      </c>
      <c r="AA24" s="33" t="b">
        <v>0</v>
      </c>
      <c r="AB24" s="33" t="b">
        <v>0</v>
      </c>
      <c r="AC24" s="33" t="b">
        <v>0</v>
      </c>
      <c r="AD24" s="33" t="b">
        <v>0</v>
      </c>
      <c r="AE24" s="33" t="b">
        <v>0</v>
      </c>
      <c r="AF24" s="33" t="b">
        <v>0</v>
      </c>
      <c r="AG24" s="33" t="b">
        <v>0</v>
      </c>
      <c r="AH24" s="33" t="b">
        <v>0</v>
      </c>
      <c r="AI24" s="24"/>
      <c r="AJ24" s="34">
        <f t="shared" si="0"/>
        <v>0</v>
      </c>
      <c r="AK24" s="35" t="str">
        <f t="shared" si="1"/>
        <v/>
      </c>
    </row>
    <row r="25" spans="2:37" s="13" customFormat="1" x14ac:dyDescent="0.2"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3" t="s">
        <v>37</v>
      </c>
    </row>
    <row r="26" spans="2:37" s="10" customFormat="1" x14ac:dyDescent="0.2">
      <c r="B26" s="10" t="s">
        <v>6</v>
      </c>
      <c r="D26" s="11">
        <f t="shared" ref="D26:AH26" si="2">COUNTIF(D15:D24,"TRUE")</f>
        <v>0</v>
      </c>
      <c r="E26" s="11">
        <f t="shared" si="2"/>
        <v>0</v>
      </c>
      <c r="F26" s="11">
        <f t="shared" si="2"/>
        <v>0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0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1">
        <f t="shared" si="2"/>
        <v>0</v>
      </c>
      <c r="O26" s="11">
        <f t="shared" si="2"/>
        <v>0</v>
      </c>
      <c r="P26" s="11">
        <f t="shared" si="2"/>
        <v>0</v>
      </c>
      <c r="Q26" s="11">
        <f t="shared" si="2"/>
        <v>0</v>
      </c>
      <c r="R26" s="11">
        <f t="shared" si="2"/>
        <v>0</v>
      </c>
      <c r="S26" s="11">
        <f t="shared" si="2"/>
        <v>0</v>
      </c>
      <c r="T26" s="11">
        <f t="shared" si="2"/>
        <v>0</v>
      </c>
      <c r="U26" s="11">
        <f t="shared" si="2"/>
        <v>0</v>
      </c>
      <c r="V26" s="11">
        <f t="shared" si="2"/>
        <v>0</v>
      </c>
      <c r="W26" s="11">
        <f t="shared" si="2"/>
        <v>0</v>
      </c>
      <c r="X26" s="11">
        <f t="shared" si="2"/>
        <v>0</v>
      </c>
      <c r="Y26" s="11">
        <f t="shared" si="2"/>
        <v>0</v>
      </c>
      <c r="Z26" s="11">
        <f t="shared" si="2"/>
        <v>0</v>
      </c>
      <c r="AA26" s="11">
        <f t="shared" si="2"/>
        <v>0</v>
      </c>
      <c r="AB26" s="11">
        <f t="shared" si="2"/>
        <v>0</v>
      </c>
      <c r="AC26" s="11">
        <f t="shared" si="2"/>
        <v>0</v>
      </c>
      <c r="AD26" s="11">
        <f t="shared" si="2"/>
        <v>0</v>
      </c>
      <c r="AE26" s="11">
        <f t="shared" si="2"/>
        <v>0</v>
      </c>
      <c r="AF26" s="11">
        <f t="shared" si="2"/>
        <v>0</v>
      </c>
      <c r="AG26" s="11">
        <f t="shared" si="2"/>
        <v>0</v>
      </c>
      <c r="AH26" s="11">
        <f t="shared" si="2"/>
        <v>0</v>
      </c>
    </row>
    <row r="27" spans="2:37" s="10" customFormat="1" x14ac:dyDescent="0.2">
      <c r="B27" s="10" t="s">
        <v>7</v>
      </c>
      <c r="D27" s="12">
        <f t="shared" ref="D27:AH27" si="3">D26/COUNTA(D15:D24)</f>
        <v>0</v>
      </c>
      <c r="E27" s="12">
        <f t="shared" si="3"/>
        <v>0</v>
      </c>
      <c r="F27" s="12">
        <f t="shared" si="3"/>
        <v>0</v>
      </c>
      <c r="G27" s="12">
        <f t="shared" si="3"/>
        <v>0</v>
      </c>
      <c r="H27" s="12">
        <f t="shared" si="3"/>
        <v>0</v>
      </c>
      <c r="I27" s="12">
        <f t="shared" si="3"/>
        <v>0</v>
      </c>
      <c r="J27" s="12">
        <f t="shared" si="3"/>
        <v>0</v>
      </c>
      <c r="K27" s="12">
        <f t="shared" si="3"/>
        <v>0</v>
      </c>
      <c r="L27" s="12">
        <f t="shared" si="3"/>
        <v>0</v>
      </c>
      <c r="M27" s="12">
        <f t="shared" si="3"/>
        <v>0</v>
      </c>
      <c r="N27" s="12">
        <f t="shared" si="3"/>
        <v>0</v>
      </c>
      <c r="O27" s="12">
        <f t="shared" si="3"/>
        <v>0</v>
      </c>
      <c r="P27" s="12">
        <f t="shared" si="3"/>
        <v>0</v>
      </c>
      <c r="Q27" s="12">
        <f t="shared" si="3"/>
        <v>0</v>
      </c>
      <c r="R27" s="12">
        <f t="shared" si="3"/>
        <v>0</v>
      </c>
      <c r="S27" s="12">
        <f t="shared" si="3"/>
        <v>0</v>
      </c>
      <c r="T27" s="12">
        <f t="shared" si="3"/>
        <v>0</v>
      </c>
      <c r="U27" s="12">
        <f t="shared" si="3"/>
        <v>0</v>
      </c>
      <c r="V27" s="12">
        <f t="shared" si="3"/>
        <v>0</v>
      </c>
      <c r="W27" s="12">
        <f t="shared" si="3"/>
        <v>0</v>
      </c>
      <c r="X27" s="12">
        <f t="shared" si="3"/>
        <v>0</v>
      </c>
      <c r="Y27" s="12">
        <f t="shared" si="3"/>
        <v>0</v>
      </c>
      <c r="Z27" s="12">
        <f t="shared" si="3"/>
        <v>0</v>
      </c>
      <c r="AA27" s="12">
        <f t="shared" si="3"/>
        <v>0</v>
      </c>
      <c r="AB27" s="12">
        <f t="shared" si="3"/>
        <v>0</v>
      </c>
      <c r="AC27" s="12">
        <f t="shared" si="3"/>
        <v>0</v>
      </c>
      <c r="AD27" s="12">
        <f t="shared" si="3"/>
        <v>0</v>
      </c>
      <c r="AE27" s="12">
        <f t="shared" si="3"/>
        <v>0</v>
      </c>
      <c r="AF27" s="12">
        <f t="shared" si="3"/>
        <v>0</v>
      </c>
      <c r="AG27" s="12">
        <f t="shared" si="3"/>
        <v>0</v>
      </c>
      <c r="AH27" s="12">
        <f t="shared" si="3"/>
        <v>0</v>
      </c>
    </row>
    <row r="28" spans="2:37" s="13" customFormat="1" hidden="1" x14ac:dyDescent="0.2">
      <c r="B28" s="41"/>
      <c r="C28" s="41"/>
      <c r="D28" s="41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</row>
    <row r="29" spans="2:37" s="15" customFormat="1" hidden="1" x14ac:dyDescent="0.2">
      <c r="B29" s="43"/>
      <c r="C29" s="43"/>
      <c r="D29" s="43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 t="s">
        <v>8</v>
      </c>
      <c r="Y29" s="44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</row>
  </sheetData>
  <sheetProtection algorithmName="SHA-512" hashValue="ztriDu5DI+CYs17Id67MDyvuWTGG/pl/y76+anbx5xDFu2NM+vll+7WBrFmjyOK+j+75Q7xTsShrlkJ00TXItQ==" saltValue="BcG1J7YCWAppkvOj1/Ggyg==" spinCount="100000" sheet="1" objects="1" scenarios="1"/>
  <mergeCells count="8">
    <mergeCell ref="AJ12:AJ14"/>
    <mergeCell ref="AK12:AK14"/>
    <mergeCell ref="B12:B14"/>
    <mergeCell ref="D12:J12"/>
    <mergeCell ref="K12:Q12"/>
    <mergeCell ref="R12:X12"/>
    <mergeCell ref="Y12:AE12"/>
    <mergeCell ref="AF12:AH12"/>
  </mergeCells>
  <conditionalFormatting sqref="AC5:AC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{D49CBE10-2584-B14A-AAE3-98BBB6B53335}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9CBE10-2584-B14A-AAE3-98BBB6B533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AC5:AC7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5556-2FB3-7E46-AF67-222AFA042AB5}">
  <dimension ref="A1:XFC29"/>
  <sheetViews>
    <sheetView topLeftCell="B1" workbookViewId="0">
      <selection activeCell="H15" sqref="H15:H24"/>
    </sheetView>
  </sheetViews>
  <sheetFormatPr baseColWidth="10" defaultColWidth="0" defaultRowHeight="16" customHeight="1" zeroHeight="1" x14ac:dyDescent="0.2"/>
  <cols>
    <col min="1" max="1" width="11.1640625" hidden="1"/>
    <col min="2" max="2" width="31" customWidth="1"/>
    <col min="3" max="3" width="0.1640625" hidden="1"/>
    <col min="4" max="4" width="4.83203125" customWidth="1"/>
    <col min="5" max="5" width="3.6640625" style="1" customWidth="1"/>
    <col min="6" max="6" width="4.6640625" style="1" customWidth="1"/>
    <col min="7" max="7" width="4.1640625" style="1" customWidth="1"/>
    <col min="8" max="8" width="5.1640625" style="1" customWidth="1"/>
    <col min="9" max="9" width="5.5" style="1" customWidth="1"/>
    <col min="10" max="11" width="6.1640625" style="1" customWidth="1"/>
    <col min="12" max="12" width="6.33203125" style="1" customWidth="1"/>
    <col min="13" max="17" width="6.1640625" style="1" customWidth="1"/>
    <col min="18" max="18" width="5" style="1" customWidth="1"/>
    <col min="19" max="19" width="6.1640625" style="1" customWidth="1"/>
    <col min="20" max="20" width="6.5" style="1" customWidth="1"/>
    <col min="21" max="22" width="6.1640625" style="1" customWidth="1"/>
    <col min="23" max="24" width="5.83203125" style="1" customWidth="1"/>
    <col min="25" max="25" width="8" style="1" customWidth="1"/>
    <col min="26" max="26" width="5.83203125" customWidth="1"/>
    <col min="27" max="27" width="6.83203125" customWidth="1"/>
    <col min="28" max="28" width="5.6640625" customWidth="1"/>
    <col min="29" max="29" width="6" customWidth="1"/>
    <col min="30" max="30" width="7.33203125" customWidth="1"/>
    <col min="31" max="31" width="6.83203125" customWidth="1"/>
    <col min="32" max="32" width="7.1640625" customWidth="1"/>
    <col min="33" max="33" width="7.6640625" customWidth="1"/>
    <col min="34" max="34" width="8" customWidth="1"/>
    <col min="35" max="35" width="11.33203125" hidden="1"/>
    <col min="36" max="36" width="16.33203125" customWidth="1"/>
    <col min="37" max="37" width="20.5" customWidth="1"/>
    <col min="38" max="16377" width="11.1640625" hidden="1"/>
    <col min="16378" max="16378" width="14" hidden="1"/>
    <col min="16379" max="16379" width="14.5" hidden="1"/>
    <col min="16380" max="16382" width="0.1640625" hidden="1"/>
    <col min="16383" max="16383" width="20" hidden="1"/>
    <col min="16384" max="16384" width="31.1640625" hidden="1"/>
  </cols>
  <sheetData>
    <row r="1" spans="2:37" x14ac:dyDescent="0.2"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2:37" x14ac:dyDescent="0.2">
      <c r="B2" s="9" t="s">
        <v>27</v>
      </c>
      <c r="C2" s="5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3"/>
      <c r="AA2" s="3"/>
      <c r="AB2" s="3"/>
      <c r="AC2" s="3"/>
      <c r="AD2" s="3"/>
      <c r="AE2" s="3"/>
      <c r="AF2" s="3"/>
      <c r="AG2" s="3"/>
      <c r="AH2" s="3"/>
      <c r="AI2" s="3"/>
      <c r="AJ2" s="4"/>
      <c r="AK2" s="36" t="s">
        <v>30</v>
      </c>
    </row>
    <row r="3" spans="2:37" x14ac:dyDescent="0.2">
      <c r="B3" s="6">
        <v>46023</v>
      </c>
      <c r="C3" s="6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4"/>
      <c r="AK3" s="7">
        <f>COUNTIF(D27:AH27,"100%")</f>
        <v>0</v>
      </c>
    </row>
    <row r="4" spans="2:37" x14ac:dyDescent="0.2">
      <c r="B4" s="40" t="s">
        <v>0</v>
      </c>
      <c r="C4" s="5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3"/>
      <c r="AA4" s="3"/>
      <c r="AB4" s="3"/>
      <c r="AC4" s="3"/>
      <c r="AD4" s="3"/>
      <c r="AE4" s="3"/>
      <c r="AF4" s="3"/>
      <c r="AG4" s="3"/>
      <c r="AH4" s="3"/>
      <c r="AI4" s="3"/>
      <c r="AJ4" s="4"/>
      <c r="AK4" s="37" t="s">
        <v>31</v>
      </c>
    </row>
    <row r="5" spans="2:37" x14ac:dyDescent="0.2">
      <c r="B5" s="4" t="str">
        <f>_xlfn.XLOOKUP(MAX(AJ15:AJ24),AJ15:AJ24,B15:B24)</f>
        <v>Daily Exercise</v>
      </c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3"/>
      <c r="AA5" s="3"/>
      <c r="AB5" s="3"/>
      <c r="AC5" s="3"/>
      <c r="AD5" s="3"/>
      <c r="AE5" s="3"/>
      <c r="AF5" s="3"/>
      <c r="AG5" s="3"/>
      <c r="AH5" s="3"/>
      <c r="AI5" s="3"/>
      <c r="AJ5" s="4"/>
      <c r="AK5" s="7">
        <f>COUNTIF(D27:AH27,"&gt;50%")</f>
        <v>0</v>
      </c>
    </row>
    <row r="6" spans="2:37" x14ac:dyDescent="0.2">
      <c r="B6" s="4" t="s">
        <v>22</v>
      </c>
      <c r="C6" s="4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3"/>
      <c r="AA6" s="3"/>
      <c r="AB6" s="3"/>
      <c r="AC6" s="3"/>
      <c r="AD6" s="3"/>
      <c r="AE6" s="3"/>
      <c r="AF6" s="3"/>
      <c r="AG6" s="3"/>
      <c r="AH6" s="3"/>
      <c r="AI6" s="3"/>
      <c r="AJ6" s="4"/>
      <c r="AK6" s="3"/>
    </row>
    <row r="7" spans="2:37" x14ac:dyDescent="0.2">
      <c r="B7" s="39" t="s">
        <v>1</v>
      </c>
      <c r="C7" s="5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4"/>
      <c r="AK7" s="38" t="s">
        <v>32</v>
      </c>
    </row>
    <row r="8" spans="2:37" x14ac:dyDescent="0.2">
      <c r="B8" s="4" t="s">
        <v>34</v>
      </c>
      <c r="C8" s="4"/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3"/>
      <c r="AA8" s="3"/>
      <c r="AB8" s="3"/>
      <c r="AC8" s="3"/>
      <c r="AD8" s="3"/>
      <c r="AE8" s="3"/>
      <c r="AF8" s="3"/>
      <c r="AG8" s="3"/>
      <c r="AH8" s="3"/>
      <c r="AI8" s="3"/>
      <c r="AJ8" s="4"/>
      <c r="AK8" s="7">
        <f>COUNTIF(D27:AH27,"0%")</f>
        <v>31</v>
      </c>
    </row>
    <row r="9" spans="2:37" x14ac:dyDescent="0.2">
      <c r="B9" s="4" t="s">
        <v>35</v>
      </c>
      <c r="C9" s="4"/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3"/>
      <c r="AA9" s="3"/>
      <c r="AB9" s="3"/>
      <c r="AC9" s="3"/>
      <c r="AD9" s="3"/>
      <c r="AE9" s="3"/>
      <c r="AF9" s="3"/>
      <c r="AG9" s="3"/>
      <c r="AH9" s="3"/>
      <c r="AI9" s="3"/>
      <c r="AJ9" s="4"/>
      <c r="AK9" s="7"/>
    </row>
    <row r="10" spans="2:37" x14ac:dyDescent="0.2">
      <c r="B10" s="4" t="s">
        <v>36</v>
      </c>
      <c r="C10" s="4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4"/>
      <c r="AK10" s="7"/>
    </row>
    <row r="11" spans="2:37" x14ac:dyDescent="0.2">
      <c r="B11" s="4"/>
      <c r="C11" s="4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4"/>
      <c r="AK11" s="7"/>
    </row>
    <row r="12" spans="2:37" ht="16" customHeight="1" x14ac:dyDescent="0.2">
      <c r="B12" s="45" t="s">
        <v>25</v>
      </c>
      <c r="C12" s="18"/>
      <c r="D12" s="53" t="s">
        <v>26</v>
      </c>
      <c r="E12" s="53"/>
      <c r="F12" s="53"/>
      <c r="G12" s="53"/>
      <c r="H12" s="53"/>
      <c r="I12" s="53"/>
      <c r="J12" s="53"/>
      <c r="K12" s="54" t="s">
        <v>2</v>
      </c>
      <c r="L12" s="54"/>
      <c r="M12" s="54"/>
      <c r="N12" s="54"/>
      <c r="O12" s="54"/>
      <c r="P12" s="54"/>
      <c r="Q12" s="54"/>
      <c r="R12" s="55" t="s">
        <v>3</v>
      </c>
      <c r="S12" s="55"/>
      <c r="T12" s="55"/>
      <c r="U12" s="55"/>
      <c r="V12" s="55"/>
      <c r="W12" s="55"/>
      <c r="X12" s="55"/>
      <c r="Y12" s="56" t="s">
        <v>9</v>
      </c>
      <c r="Z12" s="56"/>
      <c r="AA12" s="56"/>
      <c r="AB12" s="56"/>
      <c r="AC12" s="56"/>
      <c r="AD12" s="56"/>
      <c r="AE12" s="56"/>
      <c r="AF12" s="57" t="s">
        <v>17</v>
      </c>
      <c r="AG12" s="57"/>
      <c r="AH12" s="57"/>
      <c r="AI12" s="24"/>
      <c r="AJ12" s="47" t="s">
        <v>28</v>
      </c>
      <c r="AK12" s="50" t="s">
        <v>29</v>
      </c>
    </row>
    <row r="13" spans="2:37" s="2" customFormat="1" x14ac:dyDescent="0.2">
      <c r="B13" s="46"/>
      <c r="C13" s="18"/>
      <c r="D13" s="19" t="s">
        <v>14</v>
      </c>
      <c r="E13" s="19" t="s">
        <v>15</v>
      </c>
      <c r="F13" s="19" t="s">
        <v>16</v>
      </c>
      <c r="G13" s="19" t="s">
        <v>10</v>
      </c>
      <c r="H13" s="19" t="s">
        <v>11</v>
      </c>
      <c r="I13" s="19" t="s">
        <v>12</v>
      </c>
      <c r="J13" s="19" t="s">
        <v>13</v>
      </c>
      <c r="K13" s="28" t="s">
        <v>14</v>
      </c>
      <c r="L13" s="28" t="s">
        <v>15</v>
      </c>
      <c r="M13" s="28" t="s">
        <v>16</v>
      </c>
      <c r="N13" s="28" t="s">
        <v>10</v>
      </c>
      <c r="O13" s="28" t="s">
        <v>11</v>
      </c>
      <c r="P13" s="28" t="s">
        <v>12</v>
      </c>
      <c r="Q13" s="28" t="s">
        <v>13</v>
      </c>
      <c r="R13" s="29" t="s">
        <v>14</v>
      </c>
      <c r="S13" s="29" t="s">
        <v>15</v>
      </c>
      <c r="T13" s="29" t="s">
        <v>16</v>
      </c>
      <c r="U13" s="29" t="s">
        <v>10</v>
      </c>
      <c r="V13" s="29" t="s">
        <v>11</v>
      </c>
      <c r="W13" s="29" t="s">
        <v>12</v>
      </c>
      <c r="X13" s="29" t="s">
        <v>13</v>
      </c>
      <c r="Y13" s="30" t="s">
        <v>14</v>
      </c>
      <c r="Z13" s="30" t="s">
        <v>15</v>
      </c>
      <c r="AA13" s="30" t="s">
        <v>16</v>
      </c>
      <c r="AB13" s="30" t="s">
        <v>10</v>
      </c>
      <c r="AC13" s="30" t="s">
        <v>11</v>
      </c>
      <c r="AD13" s="30" t="s">
        <v>12</v>
      </c>
      <c r="AE13" s="30" t="s">
        <v>13</v>
      </c>
      <c r="AF13" s="23" t="s">
        <v>14</v>
      </c>
      <c r="AG13" s="25" t="s">
        <v>15</v>
      </c>
      <c r="AH13" s="25" t="s">
        <v>16</v>
      </c>
      <c r="AI13" s="26"/>
      <c r="AJ13" s="48"/>
      <c r="AK13" s="51"/>
    </row>
    <row r="14" spans="2:37" s="2" customFormat="1" x14ac:dyDescent="0.2">
      <c r="B14" s="46"/>
      <c r="C14" s="18"/>
      <c r="D14" s="27" cm="1">
        <f t="array" ref="D14:X14">_xlfn.SEQUENCE(,21)</f>
        <v>1</v>
      </c>
      <c r="E14" s="27">
        <v>2</v>
      </c>
      <c r="F14" s="27">
        <v>3</v>
      </c>
      <c r="G14" s="27">
        <v>4</v>
      </c>
      <c r="H14" s="27">
        <v>5</v>
      </c>
      <c r="I14" s="27">
        <v>6</v>
      </c>
      <c r="J14" s="27">
        <v>7</v>
      </c>
      <c r="K14" s="28">
        <v>8</v>
      </c>
      <c r="L14" s="28">
        <v>9</v>
      </c>
      <c r="M14" s="28">
        <v>10</v>
      </c>
      <c r="N14" s="28">
        <v>11</v>
      </c>
      <c r="O14" s="28">
        <v>12</v>
      </c>
      <c r="P14" s="28">
        <v>13</v>
      </c>
      <c r="Q14" s="28">
        <v>14</v>
      </c>
      <c r="R14" s="29">
        <v>15</v>
      </c>
      <c r="S14" s="29">
        <v>16</v>
      </c>
      <c r="T14" s="29">
        <v>17</v>
      </c>
      <c r="U14" s="29">
        <v>18</v>
      </c>
      <c r="V14" s="29">
        <v>19</v>
      </c>
      <c r="W14" s="29">
        <v>20</v>
      </c>
      <c r="X14" s="29">
        <v>21</v>
      </c>
      <c r="Y14" s="30">
        <v>22</v>
      </c>
      <c r="Z14" s="30">
        <v>23</v>
      </c>
      <c r="AA14" s="30">
        <v>24</v>
      </c>
      <c r="AB14" s="30">
        <v>25</v>
      </c>
      <c r="AC14" s="30">
        <v>26</v>
      </c>
      <c r="AD14" s="30">
        <v>27</v>
      </c>
      <c r="AE14" s="30">
        <v>28</v>
      </c>
      <c r="AF14" s="31">
        <v>29</v>
      </c>
      <c r="AG14" s="32">
        <v>30</v>
      </c>
      <c r="AH14" s="32">
        <v>31</v>
      </c>
      <c r="AI14" s="26"/>
      <c r="AJ14" s="49"/>
      <c r="AK14" s="52"/>
    </row>
    <row r="15" spans="2:37" x14ac:dyDescent="0.2">
      <c r="B15" s="24" t="s">
        <v>4</v>
      </c>
      <c r="C15" s="24"/>
      <c r="D15" s="33" t="b">
        <v>0</v>
      </c>
      <c r="E15" s="33" t="b">
        <v>0</v>
      </c>
      <c r="F15" s="33" t="b">
        <v>0</v>
      </c>
      <c r="G15" s="33" t="b">
        <v>0</v>
      </c>
      <c r="H15" s="33" t="b">
        <v>0</v>
      </c>
      <c r="I15" s="33" t="b">
        <v>0</v>
      </c>
      <c r="J15" s="33" t="b">
        <v>0</v>
      </c>
      <c r="K15" s="33" t="b">
        <v>0</v>
      </c>
      <c r="L15" s="33" t="b">
        <v>0</v>
      </c>
      <c r="M15" s="33" t="b">
        <v>0</v>
      </c>
      <c r="N15" s="33" t="b">
        <v>0</v>
      </c>
      <c r="O15" s="33" t="b">
        <v>0</v>
      </c>
      <c r="P15" s="33" t="b">
        <v>0</v>
      </c>
      <c r="Q15" s="33" t="b">
        <v>0</v>
      </c>
      <c r="R15" s="33" t="b">
        <v>0</v>
      </c>
      <c r="S15" s="33" t="b">
        <v>0</v>
      </c>
      <c r="T15" s="33" t="b">
        <v>0</v>
      </c>
      <c r="U15" s="33" t="b">
        <v>0</v>
      </c>
      <c r="V15" s="33" t="b">
        <v>0</v>
      </c>
      <c r="W15" s="33" t="b">
        <v>0</v>
      </c>
      <c r="X15" s="33" t="b">
        <v>0</v>
      </c>
      <c r="Y15" s="33" t="b">
        <v>0</v>
      </c>
      <c r="Z15" s="33" t="b">
        <v>0</v>
      </c>
      <c r="AA15" s="33" t="b">
        <v>0</v>
      </c>
      <c r="AB15" s="33" t="b">
        <v>0</v>
      </c>
      <c r="AC15" s="33" t="b">
        <v>0</v>
      </c>
      <c r="AD15" s="33" t="b">
        <v>0</v>
      </c>
      <c r="AE15" s="33" t="b">
        <v>0</v>
      </c>
      <c r="AF15" s="33" t="b">
        <v>0</v>
      </c>
      <c r="AG15" s="33" t="b">
        <v>0</v>
      </c>
      <c r="AH15" s="33" t="b">
        <v>0</v>
      </c>
      <c r="AI15" s="24"/>
      <c r="AJ15" s="34">
        <f>COUNTIF(D15:AH15,"TRUE")</f>
        <v>0</v>
      </c>
      <c r="AK15" s="35" t="str">
        <f t="shared" ref="AK15:AK24" si="0">REPT("|",AJ15*4)</f>
        <v/>
      </c>
    </row>
    <row r="16" spans="2:37" x14ac:dyDescent="0.2">
      <c r="B16" s="24" t="s">
        <v>18</v>
      </c>
      <c r="C16" s="24"/>
      <c r="D16" s="33" t="b">
        <v>0</v>
      </c>
      <c r="E16" s="33" t="b">
        <v>0</v>
      </c>
      <c r="F16" s="33" t="b">
        <v>0</v>
      </c>
      <c r="G16" s="33" t="b">
        <v>0</v>
      </c>
      <c r="H16" s="33" t="b">
        <v>0</v>
      </c>
      <c r="I16" s="33" t="b">
        <v>0</v>
      </c>
      <c r="J16" s="33" t="b">
        <v>0</v>
      </c>
      <c r="K16" s="33" t="b">
        <v>0</v>
      </c>
      <c r="L16" s="33" t="b">
        <v>0</v>
      </c>
      <c r="M16" s="33" t="b">
        <v>0</v>
      </c>
      <c r="N16" s="33" t="b">
        <v>0</v>
      </c>
      <c r="O16" s="33" t="b">
        <v>0</v>
      </c>
      <c r="P16" s="33" t="b">
        <v>0</v>
      </c>
      <c r="Q16" s="33" t="b">
        <v>0</v>
      </c>
      <c r="R16" s="33" t="b">
        <v>0</v>
      </c>
      <c r="S16" s="33" t="b">
        <v>0</v>
      </c>
      <c r="T16" s="33" t="b">
        <v>0</v>
      </c>
      <c r="U16" s="33" t="b">
        <v>0</v>
      </c>
      <c r="V16" s="33" t="b">
        <v>0</v>
      </c>
      <c r="W16" s="33" t="b">
        <v>0</v>
      </c>
      <c r="X16" s="33" t="b">
        <v>0</v>
      </c>
      <c r="Y16" s="33" t="b">
        <v>0</v>
      </c>
      <c r="Z16" s="33" t="b">
        <v>0</v>
      </c>
      <c r="AA16" s="33" t="b">
        <v>0</v>
      </c>
      <c r="AB16" s="33" t="b">
        <v>0</v>
      </c>
      <c r="AC16" s="33" t="b">
        <v>0</v>
      </c>
      <c r="AD16" s="33" t="b">
        <v>0</v>
      </c>
      <c r="AE16" s="33" t="b">
        <v>0</v>
      </c>
      <c r="AF16" s="33" t="b">
        <v>0</v>
      </c>
      <c r="AG16" s="33" t="b">
        <v>0</v>
      </c>
      <c r="AH16" s="33" t="b">
        <v>0</v>
      </c>
      <c r="AI16" s="24"/>
      <c r="AJ16" s="34">
        <f t="shared" ref="AJ16:AJ24" si="1">COUNTIF(D16:AH16,"TRUE")</f>
        <v>0</v>
      </c>
      <c r="AK16" s="35" t="str">
        <f t="shared" si="0"/>
        <v/>
      </c>
    </row>
    <row r="17" spans="2:37" x14ac:dyDescent="0.2">
      <c r="B17" s="24" t="s">
        <v>19</v>
      </c>
      <c r="C17" s="24"/>
      <c r="D17" s="33" t="b">
        <v>0</v>
      </c>
      <c r="E17" s="33" t="b">
        <v>0</v>
      </c>
      <c r="F17" s="33" t="b">
        <v>0</v>
      </c>
      <c r="G17" s="33" t="b">
        <v>0</v>
      </c>
      <c r="H17" s="33" t="b">
        <v>0</v>
      </c>
      <c r="I17" s="33" t="b">
        <v>0</v>
      </c>
      <c r="J17" s="33" t="b">
        <v>0</v>
      </c>
      <c r="K17" s="33" t="b">
        <v>0</v>
      </c>
      <c r="L17" s="33" t="b">
        <v>0</v>
      </c>
      <c r="M17" s="33" t="b">
        <v>0</v>
      </c>
      <c r="N17" s="33" t="b">
        <v>0</v>
      </c>
      <c r="O17" s="33" t="b">
        <v>0</v>
      </c>
      <c r="P17" s="33" t="b">
        <v>0</v>
      </c>
      <c r="Q17" s="33" t="b">
        <v>0</v>
      </c>
      <c r="R17" s="33" t="b">
        <v>0</v>
      </c>
      <c r="S17" s="33" t="b">
        <v>0</v>
      </c>
      <c r="T17" s="33" t="b">
        <v>0</v>
      </c>
      <c r="U17" s="33" t="b">
        <v>0</v>
      </c>
      <c r="V17" s="33" t="b">
        <v>0</v>
      </c>
      <c r="W17" s="33" t="b">
        <v>0</v>
      </c>
      <c r="X17" s="33" t="b">
        <v>0</v>
      </c>
      <c r="Y17" s="33" t="b">
        <v>0</v>
      </c>
      <c r="Z17" s="33" t="b">
        <v>0</v>
      </c>
      <c r="AA17" s="33" t="b">
        <v>0</v>
      </c>
      <c r="AB17" s="33" t="b">
        <v>0</v>
      </c>
      <c r="AC17" s="33" t="b">
        <v>0</v>
      </c>
      <c r="AD17" s="33" t="b">
        <v>0</v>
      </c>
      <c r="AE17" s="33" t="b">
        <v>0</v>
      </c>
      <c r="AF17" s="33" t="b">
        <v>0</v>
      </c>
      <c r="AG17" s="33" t="b">
        <v>0</v>
      </c>
      <c r="AH17" s="33" t="b">
        <v>0</v>
      </c>
      <c r="AI17" s="24"/>
      <c r="AJ17" s="34">
        <f t="shared" si="1"/>
        <v>0</v>
      </c>
      <c r="AK17" s="35" t="str">
        <f t="shared" si="0"/>
        <v/>
      </c>
    </row>
    <row r="18" spans="2:37" x14ac:dyDescent="0.2">
      <c r="B18" s="24" t="s">
        <v>33</v>
      </c>
      <c r="C18" s="24"/>
      <c r="D18" s="33" t="b">
        <v>0</v>
      </c>
      <c r="E18" s="33" t="b">
        <v>0</v>
      </c>
      <c r="F18" s="33" t="b">
        <v>0</v>
      </c>
      <c r="G18" s="33" t="b">
        <v>0</v>
      </c>
      <c r="H18" s="33" t="b">
        <v>0</v>
      </c>
      <c r="I18" s="33" t="b">
        <v>0</v>
      </c>
      <c r="J18" s="33" t="b">
        <v>0</v>
      </c>
      <c r="K18" s="33" t="b">
        <v>0</v>
      </c>
      <c r="L18" s="33" t="b">
        <v>0</v>
      </c>
      <c r="M18" s="33" t="b">
        <v>0</v>
      </c>
      <c r="N18" s="33" t="b">
        <v>0</v>
      </c>
      <c r="O18" s="33" t="b">
        <v>0</v>
      </c>
      <c r="P18" s="33" t="b">
        <v>0</v>
      </c>
      <c r="Q18" s="33" t="b">
        <v>0</v>
      </c>
      <c r="R18" s="33" t="b">
        <v>0</v>
      </c>
      <c r="S18" s="33" t="b">
        <v>0</v>
      </c>
      <c r="T18" s="33" t="b">
        <v>0</v>
      </c>
      <c r="U18" s="33" t="b">
        <v>0</v>
      </c>
      <c r="V18" s="33" t="b">
        <v>0</v>
      </c>
      <c r="W18" s="33" t="b">
        <v>0</v>
      </c>
      <c r="X18" s="33" t="b">
        <v>0</v>
      </c>
      <c r="Y18" s="33" t="b">
        <v>0</v>
      </c>
      <c r="Z18" s="33" t="b">
        <v>0</v>
      </c>
      <c r="AA18" s="33" t="b">
        <v>0</v>
      </c>
      <c r="AB18" s="33" t="b">
        <v>0</v>
      </c>
      <c r="AC18" s="33" t="b">
        <v>0</v>
      </c>
      <c r="AD18" s="33" t="b">
        <v>0</v>
      </c>
      <c r="AE18" s="33" t="b">
        <v>0</v>
      </c>
      <c r="AF18" s="33" t="b">
        <v>0</v>
      </c>
      <c r="AG18" s="33" t="b">
        <v>0</v>
      </c>
      <c r="AH18" s="33" t="b">
        <v>0</v>
      </c>
      <c r="AI18" s="24"/>
      <c r="AJ18" s="34">
        <f t="shared" si="1"/>
        <v>0</v>
      </c>
      <c r="AK18" s="35" t="str">
        <f t="shared" si="0"/>
        <v/>
      </c>
    </row>
    <row r="19" spans="2:37" x14ac:dyDescent="0.2">
      <c r="B19" s="24" t="s">
        <v>21</v>
      </c>
      <c r="C19" s="24"/>
      <c r="D19" s="33" t="b">
        <v>0</v>
      </c>
      <c r="E19" s="33" t="b">
        <v>0</v>
      </c>
      <c r="F19" s="33" t="b">
        <v>0</v>
      </c>
      <c r="G19" s="33" t="b">
        <v>0</v>
      </c>
      <c r="H19" s="33" t="b">
        <v>0</v>
      </c>
      <c r="I19" s="33" t="b">
        <v>0</v>
      </c>
      <c r="J19" s="33" t="b">
        <v>0</v>
      </c>
      <c r="K19" s="33" t="b">
        <v>0</v>
      </c>
      <c r="L19" s="33" t="b">
        <v>0</v>
      </c>
      <c r="M19" s="33" t="b">
        <v>0</v>
      </c>
      <c r="N19" s="33" t="b">
        <v>0</v>
      </c>
      <c r="O19" s="33" t="b">
        <v>0</v>
      </c>
      <c r="P19" s="33" t="b">
        <v>0</v>
      </c>
      <c r="Q19" s="33" t="b">
        <v>0</v>
      </c>
      <c r="R19" s="33" t="b">
        <v>0</v>
      </c>
      <c r="S19" s="33" t="b">
        <v>0</v>
      </c>
      <c r="T19" s="33" t="b">
        <v>0</v>
      </c>
      <c r="U19" s="33" t="b">
        <v>0</v>
      </c>
      <c r="V19" s="33" t="b">
        <v>0</v>
      </c>
      <c r="W19" s="33" t="b">
        <v>0</v>
      </c>
      <c r="X19" s="33" t="b">
        <v>0</v>
      </c>
      <c r="Y19" s="33" t="b">
        <v>0</v>
      </c>
      <c r="Z19" s="33" t="b">
        <v>0</v>
      </c>
      <c r="AA19" s="33" t="b">
        <v>0</v>
      </c>
      <c r="AB19" s="33" t="b">
        <v>0</v>
      </c>
      <c r="AC19" s="33" t="b">
        <v>0</v>
      </c>
      <c r="AD19" s="33" t="b">
        <v>0</v>
      </c>
      <c r="AE19" s="33" t="b">
        <v>0</v>
      </c>
      <c r="AF19" s="33" t="b">
        <v>0</v>
      </c>
      <c r="AG19" s="33" t="b">
        <v>0</v>
      </c>
      <c r="AH19" s="33" t="b">
        <v>0</v>
      </c>
      <c r="AI19" s="24"/>
      <c r="AJ19" s="34">
        <f t="shared" si="1"/>
        <v>0</v>
      </c>
      <c r="AK19" s="35" t="str">
        <f t="shared" si="0"/>
        <v/>
      </c>
    </row>
    <row r="20" spans="2:37" x14ac:dyDescent="0.2">
      <c r="B20" s="24" t="s">
        <v>20</v>
      </c>
      <c r="C20" s="24"/>
      <c r="D20" s="33" t="b">
        <v>0</v>
      </c>
      <c r="E20" s="33" t="b">
        <v>0</v>
      </c>
      <c r="F20" s="33" t="b">
        <v>0</v>
      </c>
      <c r="G20" s="33" t="b">
        <v>0</v>
      </c>
      <c r="H20" s="33" t="b">
        <v>0</v>
      </c>
      <c r="I20" s="33" t="b">
        <v>0</v>
      </c>
      <c r="J20" s="33" t="b">
        <v>0</v>
      </c>
      <c r="K20" s="33" t="b">
        <v>0</v>
      </c>
      <c r="L20" s="33" t="b">
        <v>0</v>
      </c>
      <c r="M20" s="33" t="b">
        <v>0</v>
      </c>
      <c r="N20" s="33" t="b">
        <v>0</v>
      </c>
      <c r="O20" s="33" t="b">
        <v>0</v>
      </c>
      <c r="P20" s="33" t="b">
        <v>0</v>
      </c>
      <c r="Q20" s="33" t="b">
        <v>0</v>
      </c>
      <c r="R20" s="33" t="b">
        <v>0</v>
      </c>
      <c r="S20" s="33" t="b">
        <v>0</v>
      </c>
      <c r="T20" s="33" t="b">
        <v>0</v>
      </c>
      <c r="U20" s="33" t="b">
        <v>0</v>
      </c>
      <c r="V20" s="33" t="b">
        <v>0</v>
      </c>
      <c r="W20" s="33" t="b">
        <v>0</v>
      </c>
      <c r="X20" s="33" t="b">
        <v>0</v>
      </c>
      <c r="Y20" s="33" t="b">
        <v>0</v>
      </c>
      <c r="Z20" s="33" t="b">
        <v>0</v>
      </c>
      <c r="AA20" s="33" t="b">
        <v>0</v>
      </c>
      <c r="AB20" s="33" t="b">
        <v>0</v>
      </c>
      <c r="AC20" s="33" t="b">
        <v>0</v>
      </c>
      <c r="AD20" s="33" t="b">
        <v>0</v>
      </c>
      <c r="AE20" s="33" t="b">
        <v>0</v>
      </c>
      <c r="AF20" s="33" t="b">
        <v>0</v>
      </c>
      <c r="AG20" s="33" t="b">
        <v>0</v>
      </c>
      <c r="AH20" s="33" t="b">
        <v>0</v>
      </c>
      <c r="AI20" s="24"/>
      <c r="AJ20" s="34">
        <f t="shared" si="1"/>
        <v>0</v>
      </c>
      <c r="AK20" s="35" t="str">
        <f t="shared" si="0"/>
        <v/>
      </c>
    </row>
    <row r="21" spans="2:37" x14ac:dyDescent="0.2">
      <c r="B21" s="24" t="s">
        <v>22</v>
      </c>
      <c r="C21" s="24"/>
      <c r="D21" s="33" t="b">
        <v>0</v>
      </c>
      <c r="E21" s="33" t="b">
        <v>0</v>
      </c>
      <c r="F21" s="33" t="b">
        <v>0</v>
      </c>
      <c r="G21" s="33" t="b">
        <v>0</v>
      </c>
      <c r="H21" s="33" t="b">
        <v>0</v>
      </c>
      <c r="I21" s="33" t="b">
        <v>0</v>
      </c>
      <c r="J21" s="33" t="b">
        <v>0</v>
      </c>
      <c r="K21" s="33" t="b">
        <v>0</v>
      </c>
      <c r="L21" s="33" t="b">
        <v>0</v>
      </c>
      <c r="M21" s="33" t="b">
        <v>0</v>
      </c>
      <c r="N21" s="33" t="b">
        <v>0</v>
      </c>
      <c r="O21" s="33" t="b">
        <v>0</v>
      </c>
      <c r="P21" s="33" t="b">
        <v>0</v>
      </c>
      <c r="Q21" s="33" t="b">
        <v>0</v>
      </c>
      <c r="R21" s="33" t="b">
        <v>0</v>
      </c>
      <c r="S21" s="33" t="b">
        <v>0</v>
      </c>
      <c r="T21" s="33" t="b">
        <v>0</v>
      </c>
      <c r="U21" s="33" t="b">
        <v>0</v>
      </c>
      <c r="V21" s="33" t="b">
        <v>0</v>
      </c>
      <c r="W21" s="33" t="b">
        <v>0</v>
      </c>
      <c r="X21" s="33" t="b">
        <v>0</v>
      </c>
      <c r="Y21" s="33" t="b">
        <v>0</v>
      </c>
      <c r="Z21" s="33" t="b">
        <v>0</v>
      </c>
      <c r="AA21" s="33" t="b">
        <v>0</v>
      </c>
      <c r="AB21" s="33" t="b">
        <v>0</v>
      </c>
      <c r="AC21" s="33" t="b">
        <v>0</v>
      </c>
      <c r="AD21" s="33" t="b">
        <v>0</v>
      </c>
      <c r="AE21" s="33" t="b">
        <v>0</v>
      </c>
      <c r="AF21" s="33" t="b">
        <v>0</v>
      </c>
      <c r="AG21" s="33" t="b">
        <v>0</v>
      </c>
      <c r="AH21" s="33" t="b">
        <v>0</v>
      </c>
      <c r="AI21" s="24"/>
      <c r="AJ21" s="34">
        <f t="shared" si="1"/>
        <v>0</v>
      </c>
      <c r="AK21" s="35" t="str">
        <f t="shared" si="0"/>
        <v/>
      </c>
    </row>
    <row r="22" spans="2:37" x14ac:dyDescent="0.2">
      <c r="B22" s="24" t="s">
        <v>5</v>
      </c>
      <c r="C22" s="24"/>
      <c r="D22" s="33" t="b">
        <v>0</v>
      </c>
      <c r="E22" s="33" t="b">
        <v>0</v>
      </c>
      <c r="F22" s="33" t="b">
        <v>0</v>
      </c>
      <c r="G22" s="33" t="b">
        <v>0</v>
      </c>
      <c r="H22" s="33" t="b">
        <v>0</v>
      </c>
      <c r="I22" s="33" t="b">
        <v>0</v>
      </c>
      <c r="J22" s="33" t="b">
        <v>0</v>
      </c>
      <c r="K22" s="33" t="b">
        <v>0</v>
      </c>
      <c r="L22" s="33" t="b">
        <v>0</v>
      </c>
      <c r="M22" s="33" t="b">
        <v>0</v>
      </c>
      <c r="N22" s="33" t="b">
        <v>0</v>
      </c>
      <c r="O22" s="33" t="b">
        <v>0</v>
      </c>
      <c r="P22" s="33" t="b">
        <v>0</v>
      </c>
      <c r="Q22" s="33" t="b">
        <v>0</v>
      </c>
      <c r="R22" s="33" t="b">
        <v>0</v>
      </c>
      <c r="S22" s="33" t="b">
        <v>0</v>
      </c>
      <c r="T22" s="33" t="b">
        <v>0</v>
      </c>
      <c r="U22" s="33" t="b">
        <v>0</v>
      </c>
      <c r="V22" s="33" t="b">
        <v>0</v>
      </c>
      <c r="W22" s="33" t="b">
        <v>0</v>
      </c>
      <c r="X22" s="33" t="b">
        <v>0</v>
      </c>
      <c r="Y22" s="33" t="b">
        <v>0</v>
      </c>
      <c r="Z22" s="33" t="b">
        <v>0</v>
      </c>
      <c r="AA22" s="33" t="b">
        <v>0</v>
      </c>
      <c r="AB22" s="33" t="b">
        <v>0</v>
      </c>
      <c r="AC22" s="33" t="b">
        <v>0</v>
      </c>
      <c r="AD22" s="33" t="b">
        <v>0</v>
      </c>
      <c r="AE22" s="33" t="b">
        <v>0</v>
      </c>
      <c r="AF22" s="33" t="b">
        <v>0</v>
      </c>
      <c r="AG22" s="33" t="b">
        <v>0</v>
      </c>
      <c r="AH22" s="33" t="b">
        <v>0</v>
      </c>
      <c r="AI22" s="24"/>
      <c r="AJ22" s="34">
        <f t="shared" si="1"/>
        <v>0</v>
      </c>
      <c r="AK22" s="35" t="str">
        <f t="shared" si="0"/>
        <v/>
      </c>
    </row>
    <row r="23" spans="2:37" x14ac:dyDescent="0.2">
      <c r="B23" s="24" t="s">
        <v>23</v>
      </c>
      <c r="C23" s="24"/>
      <c r="D23" s="33" t="b">
        <v>0</v>
      </c>
      <c r="E23" s="33" t="b">
        <v>0</v>
      </c>
      <c r="F23" s="33" t="b">
        <v>0</v>
      </c>
      <c r="G23" s="33" t="b">
        <v>0</v>
      </c>
      <c r="H23" s="33" t="b">
        <v>0</v>
      </c>
      <c r="I23" s="33" t="b">
        <v>0</v>
      </c>
      <c r="J23" s="33" t="b">
        <v>0</v>
      </c>
      <c r="K23" s="33" t="b">
        <v>0</v>
      </c>
      <c r="L23" s="33" t="b">
        <v>0</v>
      </c>
      <c r="M23" s="33" t="b">
        <v>0</v>
      </c>
      <c r="N23" s="33" t="b">
        <v>0</v>
      </c>
      <c r="O23" s="33" t="b">
        <v>0</v>
      </c>
      <c r="P23" s="33" t="b">
        <v>0</v>
      </c>
      <c r="Q23" s="33" t="b">
        <v>0</v>
      </c>
      <c r="R23" s="33" t="b">
        <v>0</v>
      </c>
      <c r="S23" s="33" t="b">
        <v>0</v>
      </c>
      <c r="T23" s="33" t="b">
        <v>0</v>
      </c>
      <c r="U23" s="33" t="b">
        <v>0</v>
      </c>
      <c r="V23" s="33" t="b">
        <v>0</v>
      </c>
      <c r="W23" s="33" t="b">
        <v>0</v>
      </c>
      <c r="X23" s="33" t="b">
        <v>0</v>
      </c>
      <c r="Y23" s="33" t="b">
        <v>0</v>
      </c>
      <c r="Z23" s="33" t="b">
        <v>0</v>
      </c>
      <c r="AA23" s="33" t="b">
        <v>0</v>
      </c>
      <c r="AB23" s="33" t="b">
        <v>0</v>
      </c>
      <c r="AC23" s="33" t="b">
        <v>0</v>
      </c>
      <c r="AD23" s="33" t="b">
        <v>0</v>
      </c>
      <c r="AE23" s="33" t="b">
        <v>0</v>
      </c>
      <c r="AF23" s="33" t="b">
        <v>0</v>
      </c>
      <c r="AG23" s="33" t="b">
        <v>0</v>
      </c>
      <c r="AH23" s="33" t="b">
        <v>0</v>
      </c>
      <c r="AI23" s="24"/>
      <c r="AJ23" s="34">
        <f t="shared" si="1"/>
        <v>0</v>
      </c>
      <c r="AK23" s="35" t="str">
        <f t="shared" si="0"/>
        <v/>
      </c>
    </row>
    <row r="24" spans="2:37" x14ac:dyDescent="0.2">
      <c r="B24" s="24" t="s">
        <v>24</v>
      </c>
      <c r="C24" s="24"/>
      <c r="D24" s="33" t="b">
        <v>0</v>
      </c>
      <c r="E24" s="33" t="b">
        <v>0</v>
      </c>
      <c r="F24" s="33" t="b">
        <v>0</v>
      </c>
      <c r="G24" s="33" t="b">
        <v>0</v>
      </c>
      <c r="H24" s="33" t="b">
        <v>0</v>
      </c>
      <c r="I24" s="33" t="b">
        <v>0</v>
      </c>
      <c r="J24" s="33" t="b">
        <v>0</v>
      </c>
      <c r="K24" s="33" t="b">
        <v>0</v>
      </c>
      <c r="L24" s="33" t="b">
        <v>0</v>
      </c>
      <c r="M24" s="33" t="b">
        <v>0</v>
      </c>
      <c r="N24" s="33" t="b">
        <v>0</v>
      </c>
      <c r="O24" s="33" t="b">
        <v>0</v>
      </c>
      <c r="P24" s="33" t="b">
        <v>0</v>
      </c>
      <c r="Q24" s="33" t="b">
        <v>0</v>
      </c>
      <c r="R24" s="33" t="b">
        <v>0</v>
      </c>
      <c r="S24" s="33" t="b">
        <v>0</v>
      </c>
      <c r="T24" s="33" t="b">
        <v>0</v>
      </c>
      <c r="U24" s="33" t="b">
        <v>0</v>
      </c>
      <c r="V24" s="33" t="b">
        <v>0</v>
      </c>
      <c r="W24" s="33" t="b">
        <v>0</v>
      </c>
      <c r="X24" s="33" t="b">
        <v>0</v>
      </c>
      <c r="Y24" s="33" t="b">
        <v>0</v>
      </c>
      <c r="Z24" s="33" t="b">
        <v>0</v>
      </c>
      <c r="AA24" s="33" t="b">
        <v>0</v>
      </c>
      <c r="AB24" s="33" t="b">
        <v>0</v>
      </c>
      <c r="AC24" s="33" t="b">
        <v>0</v>
      </c>
      <c r="AD24" s="33" t="b">
        <v>0</v>
      </c>
      <c r="AE24" s="33" t="b">
        <v>0</v>
      </c>
      <c r="AF24" s="33" t="b">
        <v>0</v>
      </c>
      <c r="AG24" s="33" t="b">
        <v>0</v>
      </c>
      <c r="AH24" s="33" t="b">
        <v>0</v>
      </c>
      <c r="AI24" s="24"/>
      <c r="AJ24" s="34">
        <f t="shared" si="1"/>
        <v>0</v>
      </c>
      <c r="AK24" s="35" t="str">
        <f t="shared" si="0"/>
        <v/>
      </c>
    </row>
    <row r="25" spans="2:37" s="13" customFormat="1" x14ac:dyDescent="0.2"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3" t="s">
        <v>37</v>
      </c>
    </row>
    <row r="26" spans="2:37" s="10" customFormat="1" x14ac:dyDescent="0.2">
      <c r="B26" s="10" t="s">
        <v>6</v>
      </c>
      <c r="D26" s="11">
        <f t="shared" ref="D26:AH26" si="2">COUNTIF(D15:D24,"TRUE")</f>
        <v>0</v>
      </c>
      <c r="E26" s="11">
        <f t="shared" si="2"/>
        <v>0</v>
      </c>
      <c r="F26" s="11">
        <f t="shared" si="2"/>
        <v>0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0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1">
        <f t="shared" si="2"/>
        <v>0</v>
      </c>
      <c r="O26" s="11">
        <f t="shared" si="2"/>
        <v>0</v>
      </c>
      <c r="P26" s="11">
        <f t="shared" si="2"/>
        <v>0</v>
      </c>
      <c r="Q26" s="11">
        <f t="shared" si="2"/>
        <v>0</v>
      </c>
      <c r="R26" s="11">
        <f t="shared" si="2"/>
        <v>0</v>
      </c>
      <c r="S26" s="11">
        <f t="shared" si="2"/>
        <v>0</v>
      </c>
      <c r="T26" s="11">
        <f t="shared" si="2"/>
        <v>0</v>
      </c>
      <c r="U26" s="11">
        <f t="shared" si="2"/>
        <v>0</v>
      </c>
      <c r="V26" s="11">
        <f t="shared" si="2"/>
        <v>0</v>
      </c>
      <c r="W26" s="11">
        <f t="shared" si="2"/>
        <v>0</v>
      </c>
      <c r="X26" s="11">
        <f t="shared" si="2"/>
        <v>0</v>
      </c>
      <c r="Y26" s="11">
        <f t="shared" si="2"/>
        <v>0</v>
      </c>
      <c r="Z26" s="11">
        <f t="shared" si="2"/>
        <v>0</v>
      </c>
      <c r="AA26" s="11">
        <f t="shared" si="2"/>
        <v>0</v>
      </c>
      <c r="AB26" s="11">
        <f t="shared" si="2"/>
        <v>0</v>
      </c>
      <c r="AC26" s="11">
        <f t="shared" si="2"/>
        <v>0</v>
      </c>
      <c r="AD26" s="11">
        <f t="shared" si="2"/>
        <v>0</v>
      </c>
      <c r="AE26" s="11">
        <f t="shared" si="2"/>
        <v>0</v>
      </c>
      <c r="AF26" s="11">
        <f t="shared" si="2"/>
        <v>0</v>
      </c>
      <c r="AG26" s="11">
        <f t="shared" si="2"/>
        <v>0</v>
      </c>
      <c r="AH26" s="11">
        <f t="shared" si="2"/>
        <v>0</v>
      </c>
    </row>
    <row r="27" spans="2:37" s="10" customFormat="1" x14ac:dyDescent="0.2">
      <c r="B27" s="10" t="s">
        <v>7</v>
      </c>
      <c r="D27" s="12">
        <f t="shared" ref="D27:AH27" si="3">D26/COUNTA(D15:D24)</f>
        <v>0</v>
      </c>
      <c r="E27" s="12">
        <f t="shared" si="3"/>
        <v>0</v>
      </c>
      <c r="F27" s="12">
        <f t="shared" si="3"/>
        <v>0</v>
      </c>
      <c r="G27" s="12">
        <f t="shared" si="3"/>
        <v>0</v>
      </c>
      <c r="H27" s="12">
        <f t="shared" si="3"/>
        <v>0</v>
      </c>
      <c r="I27" s="12">
        <f t="shared" si="3"/>
        <v>0</v>
      </c>
      <c r="J27" s="12">
        <f t="shared" si="3"/>
        <v>0</v>
      </c>
      <c r="K27" s="12">
        <f t="shared" si="3"/>
        <v>0</v>
      </c>
      <c r="L27" s="12">
        <f t="shared" si="3"/>
        <v>0</v>
      </c>
      <c r="M27" s="12">
        <f t="shared" si="3"/>
        <v>0</v>
      </c>
      <c r="N27" s="12">
        <f t="shared" si="3"/>
        <v>0</v>
      </c>
      <c r="O27" s="12">
        <f t="shared" si="3"/>
        <v>0</v>
      </c>
      <c r="P27" s="12">
        <f t="shared" si="3"/>
        <v>0</v>
      </c>
      <c r="Q27" s="12">
        <f t="shared" si="3"/>
        <v>0</v>
      </c>
      <c r="R27" s="12">
        <f t="shared" si="3"/>
        <v>0</v>
      </c>
      <c r="S27" s="12">
        <f t="shared" si="3"/>
        <v>0</v>
      </c>
      <c r="T27" s="12">
        <f t="shared" si="3"/>
        <v>0</v>
      </c>
      <c r="U27" s="12">
        <f t="shared" si="3"/>
        <v>0</v>
      </c>
      <c r="V27" s="12">
        <f t="shared" si="3"/>
        <v>0</v>
      </c>
      <c r="W27" s="12">
        <f t="shared" si="3"/>
        <v>0</v>
      </c>
      <c r="X27" s="12">
        <f t="shared" si="3"/>
        <v>0</v>
      </c>
      <c r="Y27" s="12">
        <f t="shared" si="3"/>
        <v>0</v>
      </c>
      <c r="Z27" s="12">
        <f t="shared" si="3"/>
        <v>0</v>
      </c>
      <c r="AA27" s="12">
        <f t="shared" si="3"/>
        <v>0</v>
      </c>
      <c r="AB27" s="12">
        <f t="shared" si="3"/>
        <v>0</v>
      </c>
      <c r="AC27" s="12">
        <f t="shared" si="3"/>
        <v>0</v>
      </c>
      <c r="AD27" s="12">
        <f t="shared" si="3"/>
        <v>0</v>
      </c>
      <c r="AE27" s="12">
        <f t="shared" si="3"/>
        <v>0</v>
      </c>
      <c r="AF27" s="12">
        <f t="shared" si="3"/>
        <v>0</v>
      </c>
      <c r="AG27" s="12">
        <f t="shared" si="3"/>
        <v>0</v>
      </c>
      <c r="AH27" s="12">
        <f t="shared" si="3"/>
        <v>0</v>
      </c>
    </row>
    <row r="28" spans="2:37" s="13" customFormat="1" hidden="1" x14ac:dyDescent="0.2"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2:37" s="15" customFormat="1" hidden="1" x14ac:dyDescent="0.2"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 t="s">
        <v>8</v>
      </c>
      <c r="Y29" s="8"/>
    </row>
  </sheetData>
  <sheetProtection algorithmName="SHA-512" hashValue="4Bkke2kV6iPp39WATi2QrEI7CxtnJyu+kaOSj3Y+m/E5kVzBF/zqciN1iHPynswUK0vHvGGBADQYmJAQ83cZUg==" saltValue="0dCfvMh5VxV9ctxHnBABig==" spinCount="100000" sheet="1" objects="1" scenarios="1"/>
  <mergeCells count="8">
    <mergeCell ref="AJ12:AJ14"/>
    <mergeCell ref="AK12:AK14"/>
    <mergeCell ref="B12:B14"/>
    <mergeCell ref="D12:J12"/>
    <mergeCell ref="K12:Q12"/>
    <mergeCell ref="R12:X12"/>
    <mergeCell ref="Y12:AE12"/>
    <mergeCell ref="AF12:AH12"/>
  </mergeCells>
  <conditionalFormatting sqref="AC5:AC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{9AF33C72-E32F-494F-B492-FAB2972D27E0}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F33C72-E32F-494F-B492-FAB2972D27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AC5:AC7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6AA9-F6B8-EC45-A8AD-37C2EDB64506}">
  <dimension ref="A1:XFC29"/>
  <sheetViews>
    <sheetView topLeftCell="B1" workbookViewId="0">
      <selection activeCell="AK25" sqref="AK25"/>
    </sheetView>
  </sheetViews>
  <sheetFormatPr baseColWidth="10" defaultColWidth="0" defaultRowHeight="16" customHeight="1" zeroHeight="1" x14ac:dyDescent="0.2"/>
  <cols>
    <col min="1" max="1" width="11.1640625" hidden="1"/>
    <col min="2" max="2" width="31" style="15" customWidth="1"/>
    <col min="3" max="3" width="0.1640625" style="15" hidden="1"/>
    <col min="4" max="4" width="4.83203125" style="15" customWidth="1"/>
    <col min="5" max="5" width="3.6640625" style="8" customWidth="1"/>
    <col min="6" max="6" width="4.6640625" style="8" customWidth="1"/>
    <col min="7" max="7" width="4.1640625" style="8" customWidth="1"/>
    <col min="8" max="8" width="5.1640625" style="8" customWidth="1"/>
    <col min="9" max="9" width="5.5" style="8" customWidth="1"/>
    <col min="10" max="11" width="6.1640625" style="8" customWidth="1"/>
    <col min="12" max="12" width="6.33203125" style="8" customWidth="1"/>
    <col min="13" max="17" width="6.1640625" style="8" customWidth="1"/>
    <col min="18" max="18" width="5" style="8" customWidth="1"/>
    <col min="19" max="19" width="6.1640625" style="8" customWidth="1"/>
    <col min="20" max="20" width="6.5" style="8" customWidth="1"/>
    <col min="21" max="22" width="6.1640625" style="8" customWidth="1"/>
    <col min="23" max="24" width="5.83203125" style="8" customWidth="1"/>
    <col min="25" max="25" width="8" style="8" customWidth="1"/>
    <col min="26" max="26" width="5.83203125" style="15" customWidth="1"/>
    <col min="27" max="27" width="6.83203125" style="15" customWidth="1"/>
    <col min="28" max="28" width="5.6640625" style="15" customWidth="1"/>
    <col min="29" max="29" width="6" style="15" customWidth="1"/>
    <col min="30" max="30" width="7.33203125" style="15" customWidth="1"/>
    <col min="31" max="31" width="6.83203125" style="15" customWidth="1"/>
    <col min="32" max="32" width="7.1640625" style="15" customWidth="1"/>
    <col min="33" max="33" width="7.6640625" style="15" customWidth="1"/>
    <col min="34" max="34" width="8" style="15" hidden="1"/>
    <col min="35" max="35" width="11.33203125" style="15" hidden="1"/>
    <col min="36" max="36" width="16.33203125" style="15" customWidth="1"/>
    <col min="37" max="37" width="20.5" customWidth="1"/>
    <col min="38" max="16377" width="11.1640625" hidden="1"/>
    <col min="16378" max="16378" width="14" hidden="1"/>
    <col min="16379" max="16379" width="14.5" hidden="1"/>
    <col min="16380" max="16382" width="0.1640625" hidden="1"/>
    <col min="16383" max="16383" width="20" hidden="1"/>
    <col min="16384" max="16384" width="31.1640625" hidden="1"/>
  </cols>
  <sheetData>
    <row r="1" spans="2:37" x14ac:dyDescent="0.2"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2:37" x14ac:dyDescent="0.2">
      <c r="B2" s="9" t="s">
        <v>27</v>
      </c>
      <c r="C2" s="5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3"/>
      <c r="AA2" s="3"/>
      <c r="AB2" s="3"/>
      <c r="AC2" s="3"/>
      <c r="AD2" s="3"/>
      <c r="AE2" s="3"/>
      <c r="AF2" s="3"/>
      <c r="AG2" s="3"/>
      <c r="AH2" s="3"/>
      <c r="AI2" s="3"/>
      <c r="AJ2" s="4"/>
      <c r="AK2" s="36" t="s">
        <v>30</v>
      </c>
    </row>
    <row r="3" spans="2:37" x14ac:dyDescent="0.2">
      <c r="B3" s="6">
        <v>46023</v>
      </c>
      <c r="C3" s="6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4"/>
      <c r="AK3" s="7">
        <f>COUNTIF(D27:AG27,"100%")</f>
        <v>0</v>
      </c>
    </row>
    <row r="4" spans="2:37" x14ac:dyDescent="0.2">
      <c r="B4" s="40" t="s">
        <v>0</v>
      </c>
      <c r="C4" s="5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3"/>
      <c r="AA4" s="3"/>
      <c r="AB4" s="3"/>
      <c r="AC4" s="3"/>
      <c r="AD4" s="3"/>
      <c r="AE4" s="3"/>
      <c r="AF4" s="3"/>
      <c r="AG4" s="3"/>
      <c r="AH4" s="3"/>
      <c r="AI4" s="3"/>
      <c r="AJ4" s="4"/>
      <c r="AK4" s="37" t="s">
        <v>31</v>
      </c>
    </row>
    <row r="5" spans="2:37" x14ac:dyDescent="0.2">
      <c r="B5" s="4" t="str">
        <f>_xlfn.XLOOKUP(MAX(AJ15:AJ24),AJ15:AJ24,B15:B24)</f>
        <v>Daily Exercise</v>
      </c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3"/>
      <c r="AA5" s="3"/>
      <c r="AB5" s="3"/>
      <c r="AC5" s="3"/>
      <c r="AD5" s="3"/>
      <c r="AE5" s="3"/>
      <c r="AF5" s="3"/>
      <c r="AG5" s="3"/>
      <c r="AH5" s="3"/>
      <c r="AI5" s="3"/>
      <c r="AJ5" s="4"/>
      <c r="AK5" s="7">
        <f>COUNTIF(D27:AG27,"&gt;50%")</f>
        <v>0</v>
      </c>
    </row>
    <row r="6" spans="2:37" x14ac:dyDescent="0.2">
      <c r="B6" s="4" t="s">
        <v>22</v>
      </c>
      <c r="C6" s="4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3"/>
      <c r="AA6" s="3"/>
      <c r="AB6" s="3"/>
      <c r="AC6" s="3"/>
      <c r="AD6" s="3"/>
      <c r="AE6" s="3"/>
      <c r="AF6" s="3"/>
      <c r="AG6" s="3"/>
      <c r="AH6" s="3"/>
      <c r="AI6" s="3"/>
      <c r="AJ6" s="4"/>
      <c r="AK6" s="3"/>
    </row>
    <row r="7" spans="2:37" x14ac:dyDescent="0.2">
      <c r="B7" s="39" t="s">
        <v>1</v>
      </c>
      <c r="C7" s="5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4"/>
      <c r="AK7" s="38" t="s">
        <v>32</v>
      </c>
    </row>
    <row r="8" spans="2:37" x14ac:dyDescent="0.2">
      <c r="B8" s="4" t="s">
        <v>34</v>
      </c>
      <c r="C8" s="4"/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3"/>
      <c r="AA8" s="3"/>
      <c r="AB8" s="3"/>
      <c r="AC8" s="3"/>
      <c r="AD8" s="3"/>
      <c r="AE8" s="3"/>
      <c r="AF8" s="3"/>
      <c r="AG8" s="3"/>
      <c r="AH8" s="3"/>
      <c r="AI8" s="3"/>
      <c r="AJ8" s="4"/>
      <c r="AK8" s="7">
        <f>COUNTIF(D27:AG27,"0%")</f>
        <v>30</v>
      </c>
    </row>
    <row r="9" spans="2:37" x14ac:dyDescent="0.2">
      <c r="B9" s="4" t="s">
        <v>35</v>
      </c>
      <c r="C9" s="4"/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3"/>
      <c r="AA9" s="3"/>
      <c r="AB9" s="3"/>
      <c r="AC9" s="3"/>
      <c r="AD9" s="3"/>
      <c r="AE9" s="3"/>
      <c r="AF9" s="3"/>
      <c r="AG9" s="3"/>
      <c r="AH9" s="3"/>
      <c r="AI9" s="3"/>
      <c r="AJ9" s="4"/>
      <c r="AK9" s="7"/>
    </row>
    <row r="10" spans="2:37" x14ac:dyDescent="0.2">
      <c r="B10" s="4" t="s">
        <v>36</v>
      </c>
      <c r="C10" s="4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4"/>
      <c r="AK10" s="7"/>
    </row>
    <row r="11" spans="2:37" x14ac:dyDescent="0.2">
      <c r="B11" s="4"/>
      <c r="C11" s="4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4"/>
      <c r="AK11" s="7"/>
    </row>
    <row r="12" spans="2:37" ht="16" customHeight="1" x14ac:dyDescent="0.2">
      <c r="B12" s="45" t="s">
        <v>25</v>
      </c>
      <c r="C12" s="18"/>
      <c r="D12" s="53" t="s">
        <v>26</v>
      </c>
      <c r="E12" s="53"/>
      <c r="F12" s="53"/>
      <c r="G12" s="53"/>
      <c r="H12" s="53"/>
      <c r="I12" s="53"/>
      <c r="J12" s="53"/>
      <c r="K12" s="54" t="s">
        <v>2</v>
      </c>
      <c r="L12" s="54"/>
      <c r="M12" s="54"/>
      <c r="N12" s="54"/>
      <c r="O12" s="54"/>
      <c r="P12" s="54"/>
      <c r="Q12" s="54"/>
      <c r="R12" s="55" t="s">
        <v>3</v>
      </c>
      <c r="S12" s="55"/>
      <c r="T12" s="55"/>
      <c r="U12" s="55"/>
      <c r="V12" s="55"/>
      <c r="W12" s="55"/>
      <c r="X12" s="55"/>
      <c r="Y12" s="56" t="s">
        <v>9</v>
      </c>
      <c r="Z12" s="56"/>
      <c r="AA12" s="56"/>
      <c r="AB12" s="56"/>
      <c r="AC12" s="56"/>
      <c r="AD12" s="56"/>
      <c r="AE12" s="56"/>
      <c r="AF12" s="57" t="s">
        <v>17</v>
      </c>
      <c r="AG12" s="57"/>
      <c r="AH12" s="57"/>
      <c r="AI12" s="24"/>
      <c r="AJ12" s="47" t="s">
        <v>28</v>
      </c>
      <c r="AK12" s="50" t="s">
        <v>29</v>
      </c>
    </row>
    <row r="13" spans="2:37" s="2" customFormat="1" x14ac:dyDescent="0.2">
      <c r="B13" s="46"/>
      <c r="C13" s="18"/>
      <c r="D13" s="19" t="s">
        <v>10</v>
      </c>
      <c r="E13" s="19" t="s">
        <v>11</v>
      </c>
      <c r="F13" s="19" t="s">
        <v>12</v>
      </c>
      <c r="G13" s="19" t="s">
        <v>13</v>
      </c>
      <c r="H13" s="19" t="s">
        <v>14</v>
      </c>
      <c r="I13" s="19" t="s">
        <v>15</v>
      </c>
      <c r="J13" s="19" t="s">
        <v>16</v>
      </c>
      <c r="K13" s="28" t="s">
        <v>10</v>
      </c>
      <c r="L13" s="28" t="s">
        <v>11</v>
      </c>
      <c r="M13" s="28" t="s">
        <v>12</v>
      </c>
      <c r="N13" s="28" t="s">
        <v>13</v>
      </c>
      <c r="O13" s="28" t="s">
        <v>14</v>
      </c>
      <c r="P13" s="28" t="s">
        <v>15</v>
      </c>
      <c r="Q13" s="28" t="s">
        <v>16</v>
      </c>
      <c r="R13" s="29" t="s">
        <v>10</v>
      </c>
      <c r="S13" s="29" t="s">
        <v>11</v>
      </c>
      <c r="T13" s="29" t="s">
        <v>12</v>
      </c>
      <c r="U13" s="29" t="s">
        <v>13</v>
      </c>
      <c r="V13" s="29" t="s">
        <v>14</v>
      </c>
      <c r="W13" s="29" t="s">
        <v>15</v>
      </c>
      <c r="X13" s="29" t="s">
        <v>16</v>
      </c>
      <c r="Y13" s="30" t="s">
        <v>10</v>
      </c>
      <c r="Z13" s="30" t="s">
        <v>11</v>
      </c>
      <c r="AA13" s="30" t="s">
        <v>12</v>
      </c>
      <c r="AB13" s="30" t="s">
        <v>13</v>
      </c>
      <c r="AC13" s="30" t="s">
        <v>14</v>
      </c>
      <c r="AD13" s="30" t="s">
        <v>15</v>
      </c>
      <c r="AE13" s="30" t="s">
        <v>16</v>
      </c>
      <c r="AF13" s="31" t="s">
        <v>10</v>
      </c>
      <c r="AG13" s="32" t="s">
        <v>11</v>
      </c>
      <c r="AH13" s="25" t="s">
        <v>14</v>
      </c>
      <c r="AI13" s="26"/>
      <c r="AJ13" s="48"/>
      <c r="AK13" s="51"/>
    </row>
    <row r="14" spans="2:37" s="2" customFormat="1" x14ac:dyDescent="0.2">
      <c r="B14" s="46"/>
      <c r="C14" s="18"/>
      <c r="D14" s="27" cm="1">
        <f t="array" ref="D14:X14">_xlfn.SEQUENCE(,21)</f>
        <v>1</v>
      </c>
      <c r="E14" s="27">
        <v>2</v>
      </c>
      <c r="F14" s="27">
        <v>3</v>
      </c>
      <c r="G14" s="27">
        <v>4</v>
      </c>
      <c r="H14" s="27">
        <v>5</v>
      </c>
      <c r="I14" s="27">
        <v>6</v>
      </c>
      <c r="J14" s="27">
        <v>7</v>
      </c>
      <c r="K14" s="28">
        <v>8</v>
      </c>
      <c r="L14" s="28">
        <v>9</v>
      </c>
      <c r="M14" s="28">
        <v>10</v>
      </c>
      <c r="N14" s="28">
        <v>11</v>
      </c>
      <c r="O14" s="28">
        <v>12</v>
      </c>
      <c r="P14" s="28">
        <v>13</v>
      </c>
      <c r="Q14" s="28">
        <v>14</v>
      </c>
      <c r="R14" s="29">
        <v>15</v>
      </c>
      <c r="S14" s="29">
        <v>16</v>
      </c>
      <c r="T14" s="29">
        <v>17</v>
      </c>
      <c r="U14" s="29">
        <v>18</v>
      </c>
      <c r="V14" s="29">
        <v>19</v>
      </c>
      <c r="W14" s="29">
        <v>20</v>
      </c>
      <c r="X14" s="29">
        <v>21</v>
      </c>
      <c r="Y14" s="30">
        <v>22</v>
      </c>
      <c r="Z14" s="30">
        <v>23</v>
      </c>
      <c r="AA14" s="30">
        <v>24</v>
      </c>
      <c r="AB14" s="30">
        <v>25</v>
      </c>
      <c r="AC14" s="30">
        <v>26</v>
      </c>
      <c r="AD14" s="30">
        <v>27</v>
      </c>
      <c r="AE14" s="30">
        <v>28</v>
      </c>
      <c r="AF14" s="31">
        <v>29</v>
      </c>
      <c r="AG14" s="32">
        <v>30</v>
      </c>
      <c r="AH14" s="32">
        <v>31</v>
      </c>
      <c r="AI14" s="26"/>
      <c r="AJ14" s="49"/>
      <c r="AK14" s="52"/>
    </row>
    <row r="15" spans="2:37" x14ac:dyDescent="0.2">
      <c r="B15" s="24" t="s">
        <v>4</v>
      </c>
      <c r="C15" s="24"/>
      <c r="D15" s="33" t="b">
        <v>0</v>
      </c>
      <c r="E15" s="33" t="b">
        <v>0</v>
      </c>
      <c r="F15" s="33" t="b">
        <v>0</v>
      </c>
      <c r="G15" s="33" t="b">
        <v>0</v>
      </c>
      <c r="H15" s="33" t="b">
        <v>0</v>
      </c>
      <c r="I15" s="33" t="b">
        <v>0</v>
      </c>
      <c r="J15" s="33" t="b">
        <v>0</v>
      </c>
      <c r="K15" s="33" t="b">
        <v>0</v>
      </c>
      <c r="L15" s="33" t="b">
        <v>0</v>
      </c>
      <c r="M15" s="33" t="b">
        <v>0</v>
      </c>
      <c r="N15" s="33" t="b">
        <v>0</v>
      </c>
      <c r="O15" s="33" t="b">
        <v>0</v>
      </c>
      <c r="P15" s="33" t="b">
        <v>0</v>
      </c>
      <c r="Q15" s="33" t="b">
        <v>0</v>
      </c>
      <c r="R15" s="33" t="b">
        <v>0</v>
      </c>
      <c r="S15" s="33" t="b">
        <v>0</v>
      </c>
      <c r="T15" s="33" t="b">
        <v>0</v>
      </c>
      <c r="U15" s="33" t="b">
        <v>0</v>
      </c>
      <c r="V15" s="33" t="b">
        <v>0</v>
      </c>
      <c r="W15" s="33" t="b">
        <v>0</v>
      </c>
      <c r="X15" s="33" t="b">
        <v>0</v>
      </c>
      <c r="Y15" s="33" t="b">
        <v>0</v>
      </c>
      <c r="Z15" s="33" t="b">
        <v>0</v>
      </c>
      <c r="AA15" s="33" t="b">
        <v>0</v>
      </c>
      <c r="AB15" s="33" t="b">
        <v>0</v>
      </c>
      <c r="AC15" s="33" t="b">
        <v>0</v>
      </c>
      <c r="AD15" s="33" t="b">
        <v>0</v>
      </c>
      <c r="AE15" s="33" t="b">
        <v>0</v>
      </c>
      <c r="AF15" s="33" t="b">
        <v>0</v>
      </c>
      <c r="AG15" s="33" t="b">
        <v>0</v>
      </c>
      <c r="AH15" s="33" t="b">
        <v>0</v>
      </c>
      <c r="AI15" s="24"/>
      <c r="AJ15" s="34">
        <f t="shared" ref="AJ15:AJ24" si="0">COUNTIF(D15:AG15,"TRUE")</f>
        <v>0</v>
      </c>
      <c r="AK15" s="35" t="str">
        <f t="shared" ref="AK15:AK24" si="1">REPT("|",AJ15*4)</f>
        <v/>
      </c>
    </row>
    <row r="16" spans="2:37" x14ac:dyDescent="0.2">
      <c r="B16" s="24" t="s">
        <v>18</v>
      </c>
      <c r="C16" s="24"/>
      <c r="D16" s="33" t="b">
        <v>0</v>
      </c>
      <c r="E16" s="33" t="b">
        <v>0</v>
      </c>
      <c r="F16" s="33" t="b">
        <v>0</v>
      </c>
      <c r="G16" s="33" t="b">
        <v>0</v>
      </c>
      <c r="H16" s="33" t="b">
        <v>0</v>
      </c>
      <c r="I16" s="33" t="b">
        <v>0</v>
      </c>
      <c r="J16" s="33" t="b">
        <v>0</v>
      </c>
      <c r="K16" s="33" t="b">
        <v>0</v>
      </c>
      <c r="L16" s="33" t="b">
        <v>0</v>
      </c>
      <c r="M16" s="33" t="b">
        <v>0</v>
      </c>
      <c r="N16" s="33" t="b">
        <v>0</v>
      </c>
      <c r="O16" s="33" t="b">
        <v>0</v>
      </c>
      <c r="P16" s="33" t="b">
        <v>0</v>
      </c>
      <c r="Q16" s="33" t="b">
        <v>0</v>
      </c>
      <c r="R16" s="33" t="b">
        <v>0</v>
      </c>
      <c r="S16" s="33" t="b">
        <v>0</v>
      </c>
      <c r="T16" s="33" t="b">
        <v>0</v>
      </c>
      <c r="U16" s="33" t="b">
        <v>0</v>
      </c>
      <c r="V16" s="33" t="b">
        <v>0</v>
      </c>
      <c r="W16" s="33" t="b">
        <v>0</v>
      </c>
      <c r="X16" s="33" t="b">
        <v>0</v>
      </c>
      <c r="Y16" s="33" t="b">
        <v>0</v>
      </c>
      <c r="Z16" s="33" t="b">
        <v>0</v>
      </c>
      <c r="AA16" s="33" t="b">
        <v>0</v>
      </c>
      <c r="AB16" s="33" t="b">
        <v>0</v>
      </c>
      <c r="AC16" s="33" t="b">
        <v>0</v>
      </c>
      <c r="AD16" s="33" t="b">
        <v>0</v>
      </c>
      <c r="AE16" s="33" t="b">
        <v>0</v>
      </c>
      <c r="AF16" s="33" t="b">
        <v>0</v>
      </c>
      <c r="AG16" s="33" t="b">
        <v>0</v>
      </c>
      <c r="AH16" s="33" t="b">
        <v>0</v>
      </c>
      <c r="AI16" s="24"/>
      <c r="AJ16" s="34">
        <f t="shared" si="0"/>
        <v>0</v>
      </c>
      <c r="AK16" s="35" t="str">
        <f t="shared" si="1"/>
        <v/>
      </c>
    </row>
    <row r="17" spans="2:37" x14ac:dyDescent="0.2">
      <c r="B17" s="24" t="s">
        <v>19</v>
      </c>
      <c r="C17" s="24"/>
      <c r="D17" s="33" t="b">
        <v>0</v>
      </c>
      <c r="E17" s="33" t="b">
        <v>0</v>
      </c>
      <c r="F17" s="33" t="b">
        <v>0</v>
      </c>
      <c r="G17" s="33" t="b">
        <v>0</v>
      </c>
      <c r="H17" s="33" t="b">
        <v>0</v>
      </c>
      <c r="I17" s="33" t="b">
        <v>0</v>
      </c>
      <c r="J17" s="33" t="b">
        <v>0</v>
      </c>
      <c r="K17" s="33" t="b">
        <v>0</v>
      </c>
      <c r="L17" s="33" t="b">
        <v>0</v>
      </c>
      <c r="M17" s="33" t="b">
        <v>0</v>
      </c>
      <c r="N17" s="33" t="b">
        <v>0</v>
      </c>
      <c r="O17" s="33" t="b">
        <v>0</v>
      </c>
      <c r="P17" s="33" t="b">
        <v>0</v>
      </c>
      <c r="Q17" s="33" t="b">
        <v>0</v>
      </c>
      <c r="R17" s="33" t="b">
        <v>0</v>
      </c>
      <c r="S17" s="33" t="b">
        <v>0</v>
      </c>
      <c r="T17" s="33" t="b">
        <v>0</v>
      </c>
      <c r="U17" s="33" t="b">
        <v>0</v>
      </c>
      <c r="V17" s="33" t="b">
        <v>0</v>
      </c>
      <c r="W17" s="33" t="b">
        <v>0</v>
      </c>
      <c r="X17" s="33" t="b">
        <v>0</v>
      </c>
      <c r="Y17" s="33" t="b">
        <v>0</v>
      </c>
      <c r="Z17" s="33" t="b">
        <v>0</v>
      </c>
      <c r="AA17" s="33" t="b">
        <v>0</v>
      </c>
      <c r="AB17" s="33" t="b">
        <v>0</v>
      </c>
      <c r="AC17" s="33" t="b">
        <v>0</v>
      </c>
      <c r="AD17" s="33" t="b">
        <v>0</v>
      </c>
      <c r="AE17" s="33" t="b">
        <v>0</v>
      </c>
      <c r="AF17" s="33" t="b">
        <v>0</v>
      </c>
      <c r="AG17" s="33" t="b">
        <v>0</v>
      </c>
      <c r="AH17" s="33" t="b">
        <v>0</v>
      </c>
      <c r="AI17" s="24"/>
      <c r="AJ17" s="34">
        <f t="shared" si="0"/>
        <v>0</v>
      </c>
      <c r="AK17" s="35" t="str">
        <f t="shared" si="1"/>
        <v/>
      </c>
    </row>
    <row r="18" spans="2:37" x14ac:dyDescent="0.2">
      <c r="B18" s="24" t="s">
        <v>33</v>
      </c>
      <c r="C18" s="24"/>
      <c r="D18" s="33" t="b">
        <v>0</v>
      </c>
      <c r="E18" s="33" t="b">
        <v>0</v>
      </c>
      <c r="F18" s="33" t="b">
        <v>0</v>
      </c>
      <c r="G18" s="33" t="b">
        <v>0</v>
      </c>
      <c r="H18" s="33" t="b">
        <v>0</v>
      </c>
      <c r="I18" s="33" t="b">
        <v>0</v>
      </c>
      <c r="J18" s="33" t="b">
        <v>0</v>
      </c>
      <c r="K18" s="33" t="b">
        <v>0</v>
      </c>
      <c r="L18" s="33" t="b">
        <v>0</v>
      </c>
      <c r="M18" s="33" t="b">
        <v>0</v>
      </c>
      <c r="N18" s="33" t="b">
        <v>0</v>
      </c>
      <c r="O18" s="33" t="b">
        <v>0</v>
      </c>
      <c r="P18" s="33" t="b">
        <v>0</v>
      </c>
      <c r="Q18" s="33" t="b">
        <v>0</v>
      </c>
      <c r="R18" s="33" t="b">
        <v>0</v>
      </c>
      <c r="S18" s="33" t="b">
        <v>0</v>
      </c>
      <c r="T18" s="33" t="b">
        <v>0</v>
      </c>
      <c r="U18" s="33" t="b">
        <v>0</v>
      </c>
      <c r="V18" s="33" t="b">
        <v>0</v>
      </c>
      <c r="W18" s="33" t="b">
        <v>0</v>
      </c>
      <c r="X18" s="33" t="b">
        <v>0</v>
      </c>
      <c r="Y18" s="33" t="b">
        <v>0</v>
      </c>
      <c r="Z18" s="33" t="b">
        <v>0</v>
      </c>
      <c r="AA18" s="33" t="b">
        <v>0</v>
      </c>
      <c r="AB18" s="33" t="b">
        <v>0</v>
      </c>
      <c r="AC18" s="33" t="b">
        <v>0</v>
      </c>
      <c r="AD18" s="33" t="b">
        <v>0</v>
      </c>
      <c r="AE18" s="33" t="b">
        <v>0</v>
      </c>
      <c r="AF18" s="33" t="b">
        <v>0</v>
      </c>
      <c r="AG18" s="33" t="b">
        <v>0</v>
      </c>
      <c r="AH18" s="33" t="b">
        <v>0</v>
      </c>
      <c r="AI18" s="24"/>
      <c r="AJ18" s="34">
        <f t="shared" si="0"/>
        <v>0</v>
      </c>
      <c r="AK18" s="35" t="str">
        <f t="shared" si="1"/>
        <v/>
      </c>
    </row>
    <row r="19" spans="2:37" x14ac:dyDescent="0.2">
      <c r="B19" s="24" t="s">
        <v>21</v>
      </c>
      <c r="C19" s="24"/>
      <c r="D19" s="33" t="b">
        <v>0</v>
      </c>
      <c r="E19" s="33" t="b">
        <v>0</v>
      </c>
      <c r="F19" s="33" t="b">
        <v>0</v>
      </c>
      <c r="G19" s="33" t="b">
        <v>0</v>
      </c>
      <c r="H19" s="33" t="b">
        <v>0</v>
      </c>
      <c r="I19" s="33" t="b">
        <v>0</v>
      </c>
      <c r="J19" s="33" t="b">
        <v>0</v>
      </c>
      <c r="K19" s="33" t="b">
        <v>0</v>
      </c>
      <c r="L19" s="33" t="b">
        <v>0</v>
      </c>
      <c r="M19" s="33" t="b">
        <v>0</v>
      </c>
      <c r="N19" s="33" t="b">
        <v>0</v>
      </c>
      <c r="O19" s="33" t="b">
        <v>0</v>
      </c>
      <c r="P19" s="33" t="b">
        <v>0</v>
      </c>
      <c r="Q19" s="33" t="b">
        <v>0</v>
      </c>
      <c r="R19" s="33" t="b">
        <v>0</v>
      </c>
      <c r="S19" s="33" t="b">
        <v>0</v>
      </c>
      <c r="T19" s="33" t="b">
        <v>0</v>
      </c>
      <c r="U19" s="33" t="b">
        <v>0</v>
      </c>
      <c r="V19" s="33" t="b">
        <v>0</v>
      </c>
      <c r="W19" s="33" t="b">
        <v>0</v>
      </c>
      <c r="X19" s="33" t="b">
        <v>0</v>
      </c>
      <c r="Y19" s="33" t="b">
        <v>0</v>
      </c>
      <c r="Z19" s="33" t="b">
        <v>0</v>
      </c>
      <c r="AA19" s="33" t="b">
        <v>0</v>
      </c>
      <c r="AB19" s="33" t="b">
        <v>0</v>
      </c>
      <c r="AC19" s="33" t="b">
        <v>0</v>
      </c>
      <c r="AD19" s="33" t="b">
        <v>0</v>
      </c>
      <c r="AE19" s="33" t="b">
        <v>0</v>
      </c>
      <c r="AF19" s="33" t="b">
        <v>0</v>
      </c>
      <c r="AG19" s="33" t="b">
        <v>0</v>
      </c>
      <c r="AH19" s="33" t="b">
        <v>0</v>
      </c>
      <c r="AI19" s="24"/>
      <c r="AJ19" s="34">
        <f t="shared" si="0"/>
        <v>0</v>
      </c>
      <c r="AK19" s="35" t="str">
        <f t="shared" si="1"/>
        <v/>
      </c>
    </row>
    <row r="20" spans="2:37" x14ac:dyDescent="0.2">
      <c r="B20" s="24" t="s">
        <v>20</v>
      </c>
      <c r="C20" s="24"/>
      <c r="D20" s="33" t="b">
        <v>0</v>
      </c>
      <c r="E20" s="33" t="b">
        <v>0</v>
      </c>
      <c r="F20" s="33" t="b">
        <v>0</v>
      </c>
      <c r="G20" s="33" t="b">
        <v>0</v>
      </c>
      <c r="H20" s="33" t="b">
        <v>0</v>
      </c>
      <c r="I20" s="33" t="b">
        <v>0</v>
      </c>
      <c r="J20" s="33" t="b">
        <v>0</v>
      </c>
      <c r="K20" s="33" t="b">
        <v>0</v>
      </c>
      <c r="L20" s="33" t="b">
        <v>0</v>
      </c>
      <c r="M20" s="33" t="b">
        <v>0</v>
      </c>
      <c r="N20" s="33" t="b">
        <v>0</v>
      </c>
      <c r="O20" s="33" t="b">
        <v>0</v>
      </c>
      <c r="P20" s="33" t="b">
        <v>0</v>
      </c>
      <c r="Q20" s="33" t="b">
        <v>0</v>
      </c>
      <c r="R20" s="33" t="b">
        <v>0</v>
      </c>
      <c r="S20" s="33" t="b">
        <v>0</v>
      </c>
      <c r="T20" s="33" t="b">
        <v>0</v>
      </c>
      <c r="U20" s="33" t="b">
        <v>0</v>
      </c>
      <c r="V20" s="33" t="b">
        <v>0</v>
      </c>
      <c r="W20" s="33" t="b">
        <v>0</v>
      </c>
      <c r="X20" s="33" t="b">
        <v>0</v>
      </c>
      <c r="Y20" s="33" t="b">
        <v>0</v>
      </c>
      <c r="Z20" s="33" t="b">
        <v>0</v>
      </c>
      <c r="AA20" s="33" t="b">
        <v>0</v>
      </c>
      <c r="AB20" s="33" t="b">
        <v>0</v>
      </c>
      <c r="AC20" s="33" t="b">
        <v>0</v>
      </c>
      <c r="AD20" s="33" t="b">
        <v>0</v>
      </c>
      <c r="AE20" s="33" t="b">
        <v>0</v>
      </c>
      <c r="AF20" s="33" t="b">
        <v>0</v>
      </c>
      <c r="AG20" s="33" t="b">
        <v>0</v>
      </c>
      <c r="AH20" s="33" t="b">
        <v>0</v>
      </c>
      <c r="AI20" s="24"/>
      <c r="AJ20" s="34">
        <f t="shared" si="0"/>
        <v>0</v>
      </c>
      <c r="AK20" s="35" t="str">
        <f t="shared" si="1"/>
        <v/>
      </c>
    </row>
    <row r="21" spans="2:37" x14ac:dyDescent="0.2">
      <c r="B21" s="24" t="s">
        <v>22</v>
      </c>
      <c r="C21" s="24"/>
      <c r="D21" s="33" t="b">
        <v>0</v>
      </c>
      <c r="E21" s="33" t="b">
        <v>0</v>
      </c>
      <c r="F21" s="33" t="b">
        <v>0</v>
      </c>
      <c r="G21" s="33" t="b">
        <v>0</v>
      </c>
      <c r="H21" s="33" t="b">
        <v>0</v>
      </c>
      <c r="I21" s="33" t="b">
        <v>0</v>
      </c>
      <c r="J21" s="33" t="b">
        <v>0</v>
      </c>
      <c r="K21" s="33" t="b">
        <v>0</v>
      </c>
      <c r="L21" s="33" t="b">
        <v>0</v>
      </c>
      <c r="M21" s="33" t="b">
        <v>0</v>
      </c>
      <c r="N21" s="33" t="b">
        <v>0</v>
      </c>
      <c r="O21" s="33" t="b">
        <v>0</v>
      </c>
      <c r="P21" s="33" t="b">
        <v>0</v>
      </c>
      <c r="Q21" s="33" t="b">
        <v>0</v>
      </c>
      <c r="R21" s="33" t="b">
        <v>0</v>
      </c>
      <c r="S21" s="33" t="b">
        <v>0</v>
      </c>
      <c r="T21" s="33" t="b">
        <v>0</v>
      </c>
      <c r="U21" s="33" t="b">
        <v>0</v>
      </c>
      <c r="V21" s="33" t="b">
        <v>0</v>
      </c>
      <c r="W21" s="33" t="b">
        <v>0</v>
      </c>
      <c r="X21" s="33" t="b">
        <v>0</v>
      </c>
      <c r="Y21" s="33" t="b">
        <v>0</v>
      </c>
      <c r="Z21" s="33" t="b">
        <v>0</v>
      </c>
      <c r="AA21" s="33" t="b">
        <v>0</v>
      </c>
      <c r="AB21" s="33" t="b">
        <v>0</v>
      </c>
      <c r="AC21" s="33" t="b">
        <v>0</v>
      </c>
      <c r="AD21" s="33" t="b">
        <v>0</v>
      </c>
      <c r="AE21" s="33" t="b">
        <v>0</v>
      </c>
      <c r="AF21" s="33" t="b">
        <v>0</v>
      </c>
      <c r="AG21" s="33" t="b">
        <v>0</v>
      </c>
      <c r="AH21" s="33" t="b">
        <v>0</v>
      </c>
      <c r="AI21" s="24"/>
      <c r="AJ21" s="34">
        <f t="shared" si="0"/>
        <v>0</v>
      </c>
      <c r="AK21" s="35" t="str">
        <f t="shared" si="1"/>
        <v/>
      </c>
    </row>
    <row r="22" spans="2:37" x14ac:dyDescent="0.2">
      <c r="B22" s="24" t="s">
        <v>5</v>
      </c>
      <c r="C22" s="24"/>
      <c r="D22" s="33" t="b">
        <v>0</v>
      </c>
      <c r="E22" s="33" t="b">
        <v>0</v>
      </c>
      <c r="F22" s="33" t="b">
        <v>0</v>
      </c>
      <c r="G22" s="33" t="b">
        <v>0</v>
      </c>
      <c r="H22" s="33" t="b">
        <v>0</v>
      </c>
      <c r="I22" s="33" t="b">
        <v>0</v>
      </c>
      <c r="J22" s="33" t="b">
        <v>0</v>
      </c>
      <c r="K22" s="33" t="b">
        <v>0</v>
      </c>
      <c r="L22" s="33" t="b">
        <v>0</v>
      </c>
      <c r="M22" s="33" t="b">
        <v>0</v>
      </c>
      <c r="N22" s="33" t="b">
        <v>0</v>
      </c>
      <c r="O22" s="33" t="b">
        <v>0</v>
      </c>
      <c r="P22" s="33" t="b">
        <v>0</v>
      </c>
      <c r="Q22" s="33" t="b">
        <v>0</v>
      </c>
      <c r="R22" s="33" t="b">
        <v>0</v>
      </c>
      <c r="S22" s="33" t="b">
        <v>0</v>
      </c>
      <c r="T22" s="33" t="b">
        <v>0</v>
      </c>
      <c r="U22" s="33" t="b">
        <v>0</v>
      </c>
      <c r="V22" s="33" t="b">
        <v>0</v>
      </c>
      <c r="W22" s="33" t="b">
        <v>0</v>
      </c>
      <c r="X22" s="33" t="b">
        <v>0</v>
      </c>
      <c r="Y22" s="33" t="b">
        <v>0</v>
      </c>
      <c r="Z22" s="33" t="b">
        <v>0</v>
      </c>
      <c r="AA22" s="33" t="b">
        <v>0</v>
      </c>
      <c r="AB22" s="33" t="b">
        <v>0</v>
      </c>
      <c r="AC22" s="33" t="b">
        <v>0</v>
      </c>
      <c r="AD22" s="33" t="b">
        <v>0</v>
      </c>
      <c r="AE22" s="33" t="b">
        <v>0</v>
      </c>
      <c r="AF22" s="33" t="b">
        <v>0</v>
      </c>
      <c r="AG22" s="33" t="b">
        <v>0</v>
      </c>
      <c r="AH22" s="33" t="b">
        <v>0</v>
      </c>
      <c r="AI22" s="24"/>
      <c r="AJ22" s="34">
        <f t="shared" si="0"/>
        <v>0</v>
      </c>
      <c r="AK22" s="35" t="str">
        <f t="shared" si="1"/>
        <v/>
      </c>
    </row>
    <row r="23" spans="2:37" x14ac:dyDescent="0.2">
      <c r="B23" s="24" t="s">
        <v>23</v>
      </c>
      <c r="C23" s="24"/>
      <c r="D23" s="33" t="b">
        <v>0</v>
      </c>
      <c r="E23" s="33" t="b">
        <v>0</v>
      </c>
      <c r="F23" s="33" t="b">
        <v>0</v>
      </c>
      <c r="G23" s="33" t="b">
        <v>0</v>
      </c>
      <c r="H23" s="33" t="b">
        <v>0</v>
      </c>
      <c r="I23" s="33" t="b">
        <v>0</v>
      </c>
      <c r="J23" s="33" t="b">
        <v>0</v>
      </c>
      <c r="K23" s="33" t="b">
        <v>0</v>
      </c>
      <c r="L23" s="33" t="b">
        <v>0</v>
      </c>
      <c r="M23" s="33" t="b">
        <v>0</v>
      </c>
      <c r="N23" s="33" t="b">
        <v>0</v>
      </c>
      <c r="O23" s="33" t="b">
        <v>0</v>
      </c>
      <c r="P23" s="33" t="b">
        <v>0</v>
      </c>
      <c r="Q23" s="33" t="b">
        <v>0</v>
      </c>
      <c r="R23" s="33" t="b">
        <v>0</v>
      </c>
      <c r="S23" s="33" t="b">
        <v>0</v>
      </c>
      <c r="T23" s="33" t="b">
        <v>0</v>
      </c>
      <c r="U23" s="33" t="b">
        <v>0</v>
      </c>
      <c r="V23" s="33" t="b">
        <v>0</v>
      </c>
      <c r="W23" s="33" t="b">
        <v>0</v>
      </c>
      <c r="X23" s="33" t="b">
        <v>0</v>
      </c>
      <c r="Y23" s="33" t="b">
        <v>0</v>
      </c>
      <c r="Z23" s="33" t="b">
        <v>0</v>
      </c>
      <c r="AA23" s="33" t="b">
        <v>0</v>
      </c>
      <c r="AB23" s="33" t="b">
        <v>0</v>
      </c>
      <c r="AC23" s="33" t="b">
        <v>0</v>
      </c>
      <c r="AD23" s="33" t="b">
        <v>0</v>
      </c>
      <c r="AE23" s="33" t="b">
        <v>0</v>
      </c>
      <c r="AF23" s="33" t="b">
        <v>0</v>
      </c>
      <c r="AG23" s="33" t="b">
        <v>0</v>
      </c>
      <c r="AH23" s="33" t="b">
        <v>0</v>
      </c>
      <c r="AI23" s="24"/>
      <c r="AJ23" s="34">
        <f t="shared" si="0"/>
        <v>0</v>
      </c>
      <c r="AK23" s="35" t="str">
        <f t="shared" si="1"/>
        <v/>
      </c>
    </row>
    <row r="24" spans="2:37" x14ac:dyDescent="0.2">
      <c r="B24" s="24" t="s">
        <v>24</v>
      </c>
      <c r="C24" s="24"/>
      <c r="D24" s="33" t="b">
        <v>0</v>
      </c>
      <c r="E24" s="33" t="b">
        <v>0</v>
      </c>
      <c r="F24" s="33" t="b">
        <v>0</v>
      </c>
      <c r="G24" s="33" t="b">
        <v>0</v>
      </c>
      <c r="H24" s="33" t="b">
        <v>0</v>
      </c>
      <c r="I24" s="33" t="b">
        <v>0</v>
      </c>
      <c r="J24" s="33" t="b">
        <v>0</v>
      </c>
      <c r="K24" s="33" t="b">
        <v>0</v>
      </c>
      <c r="L24" s="33" t="b">
        <v>0</v>
      </c>
      <c r="M24" s="33" t="b">
        <v>0</v>
      </c>
      <c r="N24" s="33" t="b">
        <v>0</v>
      </c>
      <c r="O24" s="33" t="b">
        <v>0</v>
      </c>
      <c r="P24" s="33" t="b">
        <v>0</v>
      </c>
      <c r="Q24" s="33" t="b">
        <v>0</v>
      </c>
      <c r="R24" s="33" t="b">
        <v>0</v>
      </c>
      <c r="S24" s="33" t="b">
        <v>0</v>
      </c>
      <c r="T24" s="33" t="b">
        <v>0</v>
      </c>
      <c r="U24" s="33" t="b">
        <v>0</v>
      </c>
      <c r="V24" s="33" t="b">
        <v>0</v>
      </c>
      <c r="W24" s="33" t="b">
        <v>0</v>
      </c>
      <c r="X24" s="33" t="b">
        <v>0</v>
      </c>
      <c r="Y24" s="33" t="b">
        <v>0</v>
      </c>
      <c r="Z24" s="33" t="b">
        <v>0</v>
      </c>
      <c r="AA24" s="33" t="b">
        <v>0</v>
      </c>
      <c r="AB24" s="33" t="b">
        <v>0</v>
      </c>
      <c r="AC24" s="33" t="b">
        <v>0</v>
      </c>
      <c r="AD24" s="33" t="b">
        <v>0</v>
      </c>
      <c r="AE24" s="33" t="b">
        <v>0</v>
      </c>
      <c r="AF24" s="33" t="b">
        <v>0</v>
      </c>
      <c r="AG24" s="33" t="b">
        <v>0</v>
      </c>
      <c r="AH24" s="33" t="b">
        <v>0</v>
      </c>
      <c r="AI24" s="24"/>
      <c r="AJ24" s="34">
        <f t="shared" si="0"/>
        <v>0</v>
      </c>
      <c r="AK24" s="35" t="str">
        <f t="shared" si="1"/>
        <v/>
      </c>
    </row>
    <row r="25" spans="2:37" s="13" customFormat="1" x14ac:dyDescent="0.2"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3" t="s">
        <v>37</v>
      </c>
    </row>
    <row r="26" spans="2:37" s="10" customFormat="1" x14ac:dyDescent="0.2">
      <c r="B26" s="10" t="s">
        <v>6</v>
      </c>
      <c r="D26" s="11">
        <f t="shared" ref="D26:AH26" si="2">COUNTIF(D15:D24,"TRUE")</f>
        <v>0</v>
      </c>
      <c r="E26" s="11">
        <f t="shared" si="2"/>
        <v>0</v>
      </c>
      <c r="F26" s="11">
        <f t="shared" si="2"/>
        <v>0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0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1">
        <f t="shared" si="2"/>
        <v>0</v>
      </c>
      <c r="O26" s="11">
        <f t="shared" si="2"/>
        <v>0</v>
      </c>
      <c r="P26" s="11">
        <f t="shared" si="2"/>
        <v>0</v>
      </c>
      <c r="Q26" s="11">
        <f t="shared" si="2"/>
        <v>0</v>
      </c>
      <c r="R26" s="11">
        <f t="shared" si="2"/>
        <v>0</v>
      </c>
      <c r="S26" s="11">
        <f t="shared" si="2"/>
        <v>0</v>
      </c>
      <c r="T26" s="11">
        <f t="shared" si="2"/>
        <v>0</v>
      </c>
      <c r="U26" s="11">
        <f t="shared" si="2"/>
        <v>0</v>
      </c>
      <c r="V26" s="11">
        <f t="shared" si="2"/>
        <v>0</v>
      </c>
      <c r="W26" s="11">
        <f t="shared" si="2"/>
        <v>0</v>
      </c>
      <c r="X26" s="11">
        <f t="shared" si="2"/>
        <v>0</v>
      </c>
      <c r="Y26" s="11">
        <f t="shared" si="2"/>
        <v>0</v>
      </c>
      <c r="Z26" s="11">
        <f t="shared" si="2"/>
        <v>0</v>
      </c>
      <c r="AA26" s="11">
        <f t="shared" si="2"/>
        <v>0</v>
      </c>
      <c r="AB26" s="11">
        <f t="shared" si="2"/>
        <v>0</v>
      </c>
      <c r="AC26" s="11">
        <f t="shared" si="2"/>
        <v>0</v>
      </c>
      <c r="AD26" s="11">
        <f t="shared" si="2"/>
        <v>0</v>
      </c>
      <c r="AE26" s="11">
        <f t="shared" si="2"/>
        <v>0</v>
      </c>
      <c r="AF26" s="11">
        <f t="shared" si="2"/>
        <v>0</v>
      </c>
      <c r="AG26" s="11">
        <f t="shared" si="2"/>
        <v>0</v>
      </c>
      <c r="AH26" s="11">
        <f t="shared" si="2"/>
        <v>0</v>
      </c>
    </row>
    <row r="27" spans="2:37" s="10" customFormat="1" x14ac:dyDescent="0.2">
      <c r="B27" s="10" t="s">
        <v>7</v>
      </c>
      <c r="D27" s="12">
        <f t="shared" ref="D27:AH27" si="3">D26/COUNTA(D15:D24)</f>
        <v>0</v>
      </c>
      <c r="E27" s="12">
        <f t="shared" si="3"/>
        <v>0</v>
      </c>
      <c r="F27" s="12">
        <f t="shared" si="3"/>
        <v>0</v>
      </c>
      <c r="G27" s="12">
        <f t="shared" si="3"/>
        <v>0</v>
      </c>
      <c r="H27" s="12">
        <f t="shared" si="3"/>
        <v>0</v>
      </c>
      <c r="I27" s="12">
        <f t="shared" si="3"/>
        <v>0</v>
      </c>
      <c r="J27" s="12">
        <f t="shared" si="3"/>
        <v>0</v>
      </c>
      <c r="K27" s="12">
        <f t="shared" si="3"/>
        <v>0</v>
      </c>
      <c r="L27" s="12">
        <f t="shared" si="3"/>
        <v>0</v>
      </c>
      <c r="M27" s="12">
        <f t="shared" si="3"/>
        <v>0</v>
      </c>
      <c r="N27" s="12">
        <f t="shared" si="3"/>
        <v>0</v>
      </c>
      <c r="O27" s="12">
        <f t="shared" si="3"/>
        <v>0</v>
      </c>
      <c r="P27" s="12">
        <f t="shared" si="3"/>
        <v>0</v>
      </c>
      <c r="Q27" s="12">
        <f t="shared" si="3"/>
        <v>0</v>
      </c>
      <c r="R27" s="12">
        <f t="shared" si="3"/>
        <v>0</v>
      </c>
      <c r="S27" s="12">
        <f t="shared" si="3"/>
        <v>0</v>
      </c>
      <c r="T27" s="12">
        <f t="shared" si="3"/>
        <v>0</v>
      </c>
      <c r="U27" s="12">
        <f t="shared" si="3"/>
        <v>0</v>
      </c>
      <c r="V27" s="12">
        <f t="shared" si="3"/>
        <v>0</v>
      </c>
      <c r="W27" s="12">
        <f t="shared" si="3"/>
        <v>0</v>
      </c>
      <c r="X27" s="12">
        <f t="shared" si="3"/>
        <v>0</v>
      </c>
      <c r="Y27" s="12">
        <f t="shared" si="3"/>
        <v>0</v>
      </c>
      <c r="Z27" s="12">
        <f t="shared" si="3"/>
        <v>0</v>
      </c>
      <c r="AA27" s="12">
        <f t="shared" si="3"/>
        <v>0</v>
      </c>
      <c r="AB27" s="12">
        <f t="shared" si="3"/>
        <v>0</v>
      </c>
      <c r="AC27" s="12">
        <f t="shared" si="3"/>
        <v>0</v>
      </c>
      <c r="AD27" s="12">
        <f t="shared" si="3"/>
        <v>0</v>
      </c>
      <c r="AE27" s="12">
        <f t="shared" si="3"/>
        <v>0</v>
      </c>
      <c r="AF27" s="12">
        <f t="shared" si="3"/>
        <v>0</v>
      </c>
      <c r="AG27" s="12">
        <f t="shared" si="3"/>
        <v>0</v>
      </c>
      <c r="AH27" s="12">
        <f t="shared" si="3"/>
        <v>0</v>
      </c>
    </row>
    <row r="28" spans="2:37" s="13" customFormat="1" hidden="1" x14ac:dyDescent="0.2"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2:37" s="15" customFormat="1" hidden="1" x14ac:dyDescent="0.2"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 t="s">
        <v>8</v>
      </c>
      <c r="Y29" s="8"/>
    </row>
  </sheetData>
  <sheetProtection algorithmName="SHA-512" hashValue="HFlU9sN6a+IShsOwfZRl8HNyUtwjttMUo066ZPhCPh3bfVH0PuLFZ9UeFDAxNNS0rJdjYMyxnr7Mdmt841DwdQ==" saltValue="31uide/Xpn6AErom1c1lsw==" spinCount="100000" sheet="1" objects="1" scenarios="1"/>
  <mergeCells count="8">
    <mergeCell ref="AJ12:AJ14"/>
    <mergeCell ref="AK12:AK14"/>
    <mergeCell ref="B12:B14"/>
    <mergeCell ref="D12:J12"/>
    <mergeCell ref="K12:Q12"/>
    <mergeCell ref="R12:X12"/>
    <mergeCell ref="Y12:AE12"/>
    <mergeCell ref="AF12:AH12"/>
  </mergeCells>
  <conditionalFormatting sqref="AC5:AC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{D75E8DEB-1133-9149-91C1-78B9B31E0E7F}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5E8DEB-1133-9149-91C1-78B9B31E0E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AC5:AC7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E8CE-D3D1-FD49-9601-DAC74DDC506F}">
  <dimension ref="A1:XFC29"/>
  <sheetViews>
    <sheetView topLeftCell="B1" workbookViewId="0">
      <selection activeCell="AF13" sqref="AF13:AH13"/>
    </sheetView>
  </sheetViews>
  <sheetFormatPr baseColWidth="10" defaultColWidth="0" defaultRowHeight="16" customHeight="1" zeroHeight="1" x14ac:dyDescent="0.2"/>
  <cols>
    <col min="1" max="1" width="11.1640625" hidden="1"/>
    <col min="2" max="2" width="31" customWidth="1"/>
    <col min="3" max="3" width="0.1640625" hidden="1"/>
    <col min="4" max="4" width="4.83203125" customWidth="1"/>
    <col min="5" max="5" width="3.6640625" style="1" customWidth="1"/>
    <col min="6" max="6" width="4.6640625" style="1" customWidth="1"/>
    <col min="7" max="7" width="4.1640625" style="1" customWidth="1"/>
    <col min="8" max="8" width="5.1640625" style="1" customWidth="1"/>
    <col min="9" max="9" width="5.5" style="1" customWidth="1"/>
    <col min="10" max="11" width="6.1640625" style="1" customWidth="1"/>
    <col min="12" max="12" width="6.33203125" style="1" customWidth="1"/>
    <col min="13" max="17" width="6.1640625" style="1" customWidth="1"/>
    <col min="18" max="18" width="5" style="1" customWidth="1"/>
    <col min="19" max="19" width="6.1640625" style="1" customWidth="1"/>
    <col min="20" max="20" width="6.5" style="1" customWidth="1"/>
    <col min="21" max="22" width="6.1640625" style="1" customWidth="1"/>
    <col min="23" max="24" width="5.83203125" style="1" customWidth="1"/>
    <col min="25" max="25" width="8" style="1" customWidth="1"/>
    <col min="26" max="26" width="5.83203125" customWidth="1"/>
    <col min="27" max="27" width="6.83203125" customWidth="1"/>
    <col min="28" max="28" width="5.6640625" customWidth="1"/>
    <col min="29" max="29" width="6" customWidth="1"/>
    <col min="30" max="30" width="7.33203125" customWidth="1"/>
    <col min="31" max="31" width="6.83203125" customWidth="1"/>
    <col min="32" max="32" width="7.1640625" customWidth="1"/>
    <col min="33" max="33" width="7.6640625" customWidth="1"/>
    <col min="34" max="34" width="8" customWidth="1"/>
    <col min="35" max="35" width="11.33203125" hidden="1"/>
    <col min="36" max="36" width="16.33203125" customWidth="1"/>
    <col min="37" max="37" width="20.5" customWidth="1"/>
    <col min="38" max="16377" width="11.1640625" hidden="1"/>
    <col min="16378" max="16378" width="14" hidden="1"/>
    <col min="16379" max="16379" width="14.5" hidden="1"/>
    <col min="16380" max="16382" width="0.1640625" hidden="1"/>
    <col min="16383" max="16383" width="20" hidden="1"/>
    <col min="16384" max="16384" width="31.1640625" hidden="1"/>
  </cols>
  <sheetData>
    <row r="1" spans="2:37" x14ac:dyDescent="0.2"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2:37" x14ac:dyDescent="0.2">
      <c r="B2" s="9" t="s">
        <v>27</v>
      </c>
      <c r="C2" s="5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3"/>
      <c r="AA2" s="3"/>
      <c r="AB2" s="3"/>
      <c r="AC2" s="3"/>
      <c r="AD2" s="3"/>
      <c r="AE2" s="3"/>
      <c r="AF2" s="3"/>
      <c r="AG2" s="3"/>
      <c r="AH2" s="3"/>
      <c r="AI2" s="3"/>
      <c r="AJ2" s="4"/>
      <c r="AK2" s="36" t="s">
        <v>30</v>
      </c>
    </row>
    <row r="3" spans="2:37" x14ac:dyDescent="0.2">
      <c r="B3" s="6">
        <v>46023</v>
      </c>
      <c r="C3" s="6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4"/>
      <c r="AK3" s="7">
        <f>COUNTIF(D27:AH27,"100%")</f>
        <v>0</v>
      </c>
    </row>
    <row r="4" spans="2:37" x14ac:dyDescent="0.2">
      <c r="B4" s="40" t="s">
        <v>0</v>
      </c>
      <c r="C4" s="5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3"/>
      <c r="AA4" s="3"/>
      <c r="AB4" s="3"/>
      <c r="AC4" s="3"/>
      <c r="AD4" s="3"/>
      <c r="AE4" s="3"/>
      <c r="AF4" s="3"/>
      <c r="AG4" s="3"/>
      <c r="AH4" s="3"/>
      <c r="AI4" s="3"/>
      <c r="AJ4" s="4"/>
      <c r="AK4" s="37" t="s">
        <v>31</v>
      </c>
    </row>
    <row r="5" spans="2:37" x14ac:dyDescent="0.2">
      <c r="B5" s="4" t="str">
        <f>_xlfn.XLOOKUP(MAX(AJ15:AJ24),AJ15:AJ24,B15:B24)</f>
        <v>Daily Exercise</v>
      </c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3"/>
      <c r="AA5" s="3"/>
      <c r="AB5" s="3"/>
      <c r="AC5" s="3"/>
      <c r="AD5" s="3"/>
      <c r="AE5" s="3"/>
      <c r="AF5" s="3"/>
      <c r="AG5" s="3"/>
      <c r="AH5" s="3"/>
      <c r="AI5" s="3"/>
      <c r="AJ5" s="4"/>
      <c r="AK5" s="7">
        <f>COUNTIF(D27:AH27,"&gt;50%")</f>
        <v>0</v>
      </c>
    </row>
    <row r="6" spans="2:37" x14ac:dyDescent="0.2">
      <c r="B6" s="4" t="s">
        <v>22</v>
      </c>
      <c r="C6" s="4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3"/>
      <c r="AA6" s="3"/>
      <c r="AB6" s="3"/>
      <c r="AC6" s="3"/>
      <c r="AD6" s="3"/>
      <c r="AE6" s="3"/>
      <c r="AF6" s="3"/>
      <c r="AG6" s="3"/>
      <c r="AH6" s="3"/>
      <c r="AI6" s="3"/>
      <c r="AJ6" s="4"/>
      <c r="AK6" s="3"/>
    </row>
    <row r="7" spans="2:37" x14ac:dyDescent="0.2">
      <c r="B7" s="39" t="s">
        <v>1</v>
      </c>
      <c r="C7" s="5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4"/>
      <c r="AK7" s="38" t="s">
        <v>32</v>
      </c>
    </row>
    <row r="8" spans="2:37" x14ac:dyDescent="0.2">
      <c r="B8" s="4" t="s">
        <v>34</v>
      </c>
      <c r="C8" s="4"/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3"/>
      <c r="AA8" s="3"/>
      <c r="AB8" s="3"/>
      <c r="AC8" s="3"/>
      <c r="AD8" s="3"/>
      <c r="AE8" s="3"/>
      <c r="AF8" s="3"/>
      <c r="AG8" s="3"/>
      <c r="AH8" s="3"/>
      <c r="AI8" s="3"/>
      <c r="AJ8" s="4"/>
      <c r="AK8" s="7">
        <f>COUNTIF(D27:AH27,"0%")</f>
        <v>31</v>
      </c>
    </row>
    <row r="9" spans="2:37" x14ac:dyDescent="0.2">
      <c r="B9" s="4" t="s">
        <v>35</v>
      </c>
      <c r="C9" s="4"/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3"/>
      <c r="AA9" s="3"/>
      <c r="AB9" s="3"/>
      <c r="AC9" s="3"/>
      <c r="AD9" s="3"/>
      <c r="AE9" s="3"/>
      <c r="AF9" s="3"/>
      <c r="AG9" s="3"/>
      <c r="AH9" s="3"/>
      <c r="AI9" s="3"/>
      <c r="AJ9" s="4"/>
      <c r="AK9" s="7"/>
    </row>
    <row r="10" spans="2:37" x14ac:dyDescent="0.2">
      <c r="B10" s="4" t="s">
        <v>36</v>
      </c>
      <c r="C10" s="4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4"/>
      <c r="AK10" s="7"/>
    </row>
    <row r="11" spans="2:37" x14ac:dyDescent="0.2">
      <c r="B11" s="4"/>
      <c r="C11" s="4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4"/>
      <c r="AK11" s="7"/>
    </row>
    <row r="12" spans="2:37" ht="16" customHeight="1" x14ac:dyDescent="0.2">
      <c r="B12" s="45" t="s">
        <v>25</v>
      </c>
      <c r="C12" s="18"/>
      <c r="D12" s="53" t="s">
        <v>26</v>
      </c>
      <c r="E12" s="53"/>
      <c r="F12" s="53"/>
      <c r="G12" s="53"/>
      <c r="H12" s="53"/>
      <c r="I12" s="53"/>
      <c r="J12" s="53"/>
      <c r="K12" s="54" t="s">
        <v>2</v>
      </c>
      <c r="L12" s="54"/>
      <c r="M12" s="54"/>
      <c r="N12" s="54"/>
      <c r="O12" s="54"/>
      <c r="P12" s="54"/>
      <c r="Q12" s="54"/>
      <c r="R12" s="55" t="s">
        <v>3</v>
      </c>
      <c r="S12" s="55"/>
      <c r="T12" s="55"/>
      <c r="U12" s="55"/>
      <c r="V12" s="55"/>
      <c r="W12" s="55"/>
      <c r="X12" s="55"/>
      <c r="Y12" s="56" t="s">
        <v>9</v>
      </c>
      <c r="Z12" s="56"/>
      <c r="AA12" s="56"/>
      <c r="AB12" s="56"/>
      <c r="AC12" s="56"/>
      <c r="AD12" s="56"/>
      <c r="AE12" s="56"/>
      <c r="AF12" s="57" t="s">
        <v>17</v>
      </c>
      <c r="AG12" s="57"/>
      <c r="AH12" s="57"/>
      <c r="AI12" s="24"/>
      <c r="AJ12" s="47" t="s">
        <v>28</v>
      </c>
      <c r="AK12" s="50" t="s">
        <v>29</v>
      </c>
    </row>
    <row r="13" spans="2:37" s="2" customFormat="1" x14ac:dyDescent="0.2">
      <c r="B13" s="46"/>
      <c r="C13" s="18"/>
      <c r="D13" s="19" t="s">
        <v>12</v>
      </c>
      <c r="E13" s="19" t="s">
        <v>13</v>
      </c>
      <c r="F13" s="19" t="s">
        <v>14</v>
      </c>
      <c r="G13" s="19" t="s">
        <v>15</v>
      </c>
      <c r="H13" s="19" t="s">
        <v>16</v>
      </c>
      <c r="I13" s="19" t="s">
        <v>10</v>
      </c>
      <c r="J13" s="19" t="s">
        <v>11</v>
      </c>
      <c r="K13" s="28" t="s">
        <v>12</v>
      </c>
      <c r="L13" s="28" t="s">
        <v>13</v>
      </c>
      <c r="M13" s="28" t="s">
        <v>14</v>
      </c>
      <c r="N13" s="28" t="s">
        <v>15</v>
      </c>
      <c r="O13" s="28" t="s">
        <v>16</v>
      </c>
      <c r="P13" s="28" t="s">
        <v>10</v>
      </c>
      <c r="Q13" s="28" t="s">
        <v>11</v>
      </c>
      <c r="R13" s="29" t="s">
        <v>12</v>
      </c>
      <c r="S13" s="29" t="s">
        <v>13</v>
      </c>
      <c r="T13" s="29" t="s">
        <v>14</v>
      </c>
      <c r="U13" s="29" t="s">
        <v>15</v>
      </c>
      <c r="V13" s="29" t="s">
        <v>16</v>
      </c>
      <c r="W13" s="29" t="s">
        <v>10</v>
      </c>
      <c r="X13" s="29" t="s">
        <v>11</v>
      </c>
      <c r="Y13" s="30" t="s">
        <v>12</v>
      </c>
      <c r="Z13" s="30" t="s">
        <v>13</v>
      </c>
      <c r="AA13" s="30" t="s">
        <v>14</v>
      </c>
      <c r="AB13" s="30" t="s">
        <v>15</v>
      </c>
      <c r="AC13" s="30" t="s">
        <v>16</v>
      </c>
      <c r="AD13" s="30" t="s">
        <v>10</v>
      </c>
      <c r="AE13" s="30" t="s">
        <v>11</v>
      </c>
      <c r="AF13" s="31" t="s">
        <v>12</v>
      </c>
      <c r="AG13" s="31" t="s">
        <v>13</v>
      </c>
      <c r="AH13" s="31" t="s">
        <v>14</v>
      </c>
      <c r="AI13" s="26"/>
      <c r="AJ13" s="48"/>
      <c r="AK13" s="51"/>
    </row>
    <row r="14" spans="2:37" s="2" customFormat="1" x14ac:dyDescent="0.2">
      <c r="B14" s="46"/>
      <c r="C14" s="18"/>
      <c r="D14" s="27" cm="1">
        <f t="array" ref="D14:X14">_xlfn.SEQUENCE(,21)</f>
        <v>1</v>
      </c>
      <c r="E14" s="27">
        <v>2</v>
      </c>
      <c r="F14" s="27">
        <v>3</v>
      </c>
      <c r="G14" s="27">
        <v>4</v>
      </c>
      <c r="H14" s="27">
        <v>5</v>
      </c>
      <c r="I14" s="27">
        <v>6</v>
      </c>
      <c r="J14" s="27">
        <v>7</v>
      </c>
      <c r="K14" s="28">
        <v>8</v>
      </c>
      <c r="L14" s="28">
        <v>9</v>
      </c>
      <c r="M14" s="28">
        <v>10</v>
      </c>
      <c r="N14" s="28">
        <v>11</v>
      </c>
      <c r="O14" s="28">
        <v>12</v>
      </c>
      <c r="P14" s="28">
        <v>13</v>
      </c>
      <c r="Q14" s="28">
        <v>14</v>
      </c>
      <c r="R14" s="29">
        <v>15</v>
      </c>
      <c r="S14" s="29">
        <v>16</v>
      </c>
      <c r="T14" s="29">
        <v>17</v>
      </c>
      <c r="U14" s="29">
        <v>18</v>
      </c>
      <c r="V14" s="29">
        <v>19</v>
      </c>
      <c r="W14" s="29">
        <v>20</v>
      </c>
      <c r="X14" s="29">
        <v>21</v>
      </c>
      <c r="Y14" s="30">
        <v>22</v>
      </c>
      <c r="Z14" s="30">
        <v>23</v>
      </c>
      <c r="AA14" s="30">
        <v>24</v>
      </c>
      <c r="AB14" s="30">
        <v>25</v>
      </c>
      <c r="AC14" s="30">
        <v>26</v>
      </c>
      <c r="AD14" s="30">
        <v>27</v>
      </c>
      <c r="AE14" s="30">
        <v>28</v>
      </c>
      <c r="AF14" s="31">
        <v>29</v>
      </c>
      <c r="AG14" s="32">
        <v>30</v>
      </c>
      <c r="AH14" s="32">
        <v>31</v>
      </c>
      <c r="AI14" s="26"/>
      <c r="AJ14" s="49"/>
      <c r="AK14" s="52"/>
    </row>
    <row r="15" spans="2:37" x14ac:dyDescent="0.2">
      <c r="B15" s="24" t="s">
        <v>4</v>
      </c>
      <c r="C15" s="24"/>
      <c r="D15" s="33" t="b">
        <v>0</v>
      </c>
      <c r="E15" s="33" t="b">
        <v>0</v>
      </c>
      <c r="F15" s="33" t="b">
        <v>0</v>
      </c>
      <c r="G15" s="33" t="b">
        <v>0</v>
      </c>
      <c r="H15" s="33" t="b">
        <v>0</v>
      </c>
      <c r="I15" s="33" t="b">
        <v>0</v>
      </c>
      <c r="J15" s="33" t="b">
        <v>0</v>
      </c>
      <c r="K15" s="33" t="b">
        <v>0</v>
      </c>
      <c r="L15" s="33" t="b">
        <v>0</v>
      </c>
      <c r="M15" s="33" t="b">
        <v>0</v>
      </c>
      <c r="N15" s="33" t="b">
        <v>0</v>
      </c>
      <c r="O15" s="33" t="b">
        <v>0</v>
      </c>
      <c r="P15" s="33" t="b">
        <v>0</v>
      </c>
      <c r="Q15" s="33" t="b">
        <v>0</v>
      </c>
      <c r="R15" s="33" t="b">
        <v>0</v>
      </c>
      <c r="S15" s="33" t="b">
        <v>0</v>
      </c>
      <c r="T15" s="33" t="b">
        <v>0</v>
      </c>
      <c r="U15" s="33" t="b">
        <v>0</v>
      </c>
      <c r="V15" s="33" t="b">
        <v>0</v>
      </c>
      <c r="W15" s="33" t="b">
        <v>0</v>
      </c>
      <c r="X15" s="33" t="b">
        <v>0</v>
      </c>
      <c r="Y15" s="33" t="b">
        <v>0</v>
      </c>
      <c r="Z15" s="33" t="b">
        <v>0</v>
      </c>
      <c r="AA15" s="33" t="b">
        <v>0</v>
      </c>
      <c r="AB15" s="33" t="b">
        <v>0</v>
      </c>
      <c r="AC15" s="33" t="b">
        <v>0</v>
      </c>
      <c r="AD15" s="33" t="b">
        <v>0</v>
      </c>
      <c r="AE15" s="33" t="b">
        <v>0</v>
      </c>
      <c r="AF15" s="33" t="b">
        <v>0</v>
      </c>
      <c r="AG15" s="33" t="b">
        <v>0</v>
      </c>
      <c r="AH15" s="33" t="b">
        <v>0</v>
      </c>
      <c r="AI15" s="24"/>
      <c r="AJ15" s="34">
        <f>COUNTIF(D15:AH15,"TRUE")</f>
        <v>0</v>
      </c>
      <c r="AK15" s="35" t="str">
        <f t="shared" ref="AK15:AK24" si="0">REPT("|",AJ15*4)</f>
        <v/>
      </c>
    </row>
    <row r="16" spans="2:37" x14ac:dyDescent="0.2">
      <c r="B16" s="24" t="s">
        <v>18</v>
      </c>
      <c r="C16" s="24"/>
      <c r="D16" s="33" t="b">
        <v>0</v>
      </c>
      <c r="E16" s="33" t="b">
        <v>0</v>
      </c>
      <c r="F16" s="33" t="b">
        <v>0</v>
      </c>
      <c r="G16" s="33" t="b">
        <v>0</v>
      </c>
      <c r="H16" s="33" t="b">
        <v>0</v>
      </c>
      <c r="I16" s="33" t="b">
        <v>0</v>
      </c>
      <c r="J16" s="33" t="b">
        <v>0</v>
      </c>
      <c r="K16" s="33" t="b">
        <v>0</v>
      </c>
      <c r="L16" s="33" t="b">
        <v>0</v>
      </c>
      <c r="M16" s="33" t="b">
        <v>0</v>
      </c>
      <c r="N16" s="33" t="b">
        <v>0</v>
      </c>
      <c r="O16" s="33" t="b">
        <v>0</v>
      </c>
      <c r="P16" s="33" t="b">
        <v>0</v>
      </c>
      <c r="Q16" s="33" t="b">
        <v>0</v>
      </c>
      <c r="R16" s="33" t="b">
        <v>0</v>
      </c>
      <c r="S16" s="33" t="b">
        <v>0</v>
      </c>
      <c r="T16" s="33" t="b">
        <v>0</v>
      </c>
      <c r="U16" s="33" t="b">
        <v>0</v>
      </c>
      <c r="V16" s="33" t="b">
        <v>0</v>
      </c>
      <c r="W16" s="33" t="b">
        <v>0</v>
      </c>
      <c r="X16" s="33" t="b">
        <v>0</v>
      </c>
      <c r="Y16" s="33" t="b">
        <v>0</v>
      </c>
      <c r="Z16" s="33" t="b">
        <v>0</v>
      </c>
      <c r="AA16" s="33" t="b">
        <v>0</v>
      </c>
      <c r="AB16" s="33" t="b">
        <v>0</v>
      </c>
      <c r="AC16" s="33" t="b">
        <v>0</v>
      </c>
      <c r="AD16" s="33" t="b">
        <v>0</v>
      </c>
      <c r="AE16" s="33" t="b">
        <v>0</v>
      </c>
      <c r="AF16" s="33" t="b">
        <v>0</v>
      </c>
      <c r="AG16" s="33" t="b">
        <v>0</v>
      </c>
      <c r="AH16" s="33" t="b">
        <v>0</v>
      </c>
      <c r="AI16" s="24"/>
      <c r="AJ16" s="34">
        <f t="shared" ref="AJ16:AJ24" si="1">COUNTIF(D16:AH16,"TRUE")</f>
        <v>0</v>
      </c>
      <c r="AK16" s="35" t="str">
        <f t="shared" si="0"/>
        <v/>
      </c>
    </row>
    <row r="17" spans="2:37" x14ac:dyDescent="0.2">
      <c r="B17" s="24" t="s">
        <v>19</v>
      </c>
      <c r="C17" s="24"/>
      <c r="D17" s="33" t="b">
        <v>0</v>
      </c>
      <c r="E17" s="33" t="b">
        <v>0</v>
      </c>
      <c r="F17" s="33" t="b">
        <v>0</v>
      </c>
      <c r="G17" s="33" t="b">
        <v>0</v>
      </c>
      <c r="H17" s="33" t="b">
        <v>0</v>
      </c>
      <c r="I17" s="33" t="b">
        <v>0</v>
      </c>
      <c r="J17" s="33" t="b">
        <v>0</v>
      </c>
      <c r="K17" s="33" t="b">
        <v>0</v>
      </c>
      <c r="L17" s="33" t="b">
        <v>0</v>
      </c>
      <c r="M17" s="33" t="b">
        <v>0</v>
      </c>
      <c r="N17" s="33" t="b">
        <v>0</v>
      </c>
      <c r="O17" s="33" t="b">
        <v>0</v>
      </c>
      <c r="P17" s="33" t="b">
        <v>0</v>
      </c>
      <c r="Q17" s="33" t="b">
        <v>0</v>
      </c>
      <c r="R17" s="33" t="b">
        <v>0</v>
      </c>
      <c r="S17" s="33" t="b">
        <v>0</v>
      </c>
      <c r="T17" s="33" t="b">
        <v>0</v>
      </c>
      <c r="U17" s="33" t="b">
        <v>0</v>
      </c>
      <c r="V17" s="33" t="b">
        <v>0</v>
      </c>
      <c r="W17" s="33" t="b">
        <v>0</v>
      </c>
      <c r="X17" s="33" t="b">
        <v>0</v>
      </c>
      <c r="Y17" s="33" t="b">
        <v>0</v>
      </c>
      <c r="Z17" s="33" t="b">
        <v>0</v>
      </c>
      <c r="AA17" s="33" t="b">
        <v>0</v>
      </c>
      <c r="AB17" s="33" t="b">
        <v>0</v>
      </c>
      <c r="AC17" s="33" t="b">
        <v>0</v>
      </c>
      <c r="AD17" s="33" t="b">
        <v>0</v>
      </c>
      <c r="AE17" s="33" t="b">
        <v>0</v>
      </c>
      <c r="AF17" s="33" t="b">
        <v>0</v>
      </c>
      <c r="AG17" s="33" t="b">
        <v>0</v>
      </c>
      <c r="AH17" s="33" t="b">
        <v>0</v>
      </c>
      <c r="AI17" s="24"/>
      <c r="AJ17" s="34">
        <f t="shared" si="1"/>
        <v>0</v>
      </c>
      <c r="AK17" s="35" t="str">
        <f t="shared" si="0"/>
        <v/>
      </c>
    </row>
    <row r="18" spans="2:37" x14ac:dyDescent="0.2">
      <c r="B18" s="24" t="s">
        <v>33</v>
      </c>
      <c r="C18" s="24"/>
      <c r="D18" s="33" t="b">
        <v>0</v>
      </c>
      <c r="E18" s="33" t="b">
        <v>0</v>
      </c>
      <c r="F18" s="33" t="b">
        <v>0</v>
      </c>
      <c r="G18" s="33" t="b">
        <v>0</v>
      </c>
      <c r="H18" s="33" t="b">
        <v>0</v>
      </c>
      <c r="I18" s="33" t="b">
        <v>0</v>
      </c>
      <c r="J18" s="33" t="b">
        <v>0</v>
      </c>
      <c r="K18" s="33" t="b">
        <v>0</v>
      </c>
      <c r="L18" s="33" t="b">
        <v>0</v>
      </c>
      <c r="M18" s="33" t="b">
        <v>0</v>
      </c>
      <c r="N18" s="33" t="b">
        <v>0</v>
      </c>
      <c r="O18" s="33" t="b">
        <v>0</v>
      </c>
      <c r="P18" s="33" t="b">
        <v>0</v>
      </c>
      <c r="Q18" s="33" t="b">
        <v>0</v>
      </c>
      <c r="R18" s="33" t="b">
        <v>0</v>
      </c>
      <c r="S18" s="33" t="b">
        <v>0</v>
      </c>
      <c r="T18" s="33" t="b">
        <v>0</v>
      </c>
      <c r="U18" s="33" t="b">
        <v>0</v>
      </c>
      <c r="V18" s="33" t="b">
        <v>0</v>
      </c>
      <c r="W18" s="33" t="b">
        <v>0</v>
      </c>
      <c r="X18" s="33" t="b">
        <v>0</v>
      </c>
      <c r="Y18" s="33" t="b">
        <v>0</v>
      </c>
      <c r="Z18" s="33" t="b">
        <v>0</v>
      </c>
      <c r="AA18" s="33" t="b">
        <v>0</v>
      </c>
      <c r="AB18" s="33" t="b">
        <v>0</v>
      </c>
      <c r="AC18" s="33" t="b">
        <v>0</v>
      </c>
      <c r="AD18" s="33" t="b">
        <v>0</v>
      </c>
      <c r="AE18" s="33" t="b">
        <v>0</v>
      </c>
      <c r="AF18" s="33" t="b">
        <v>0</v>
      </c>
      <c r="AG18" s="33" t="b">
        <v>0</v>
      </c>
      <c r="AH18" s="33" t="b">
        <v>0</v>
      </c>
      <c r="AI18" s="24"/>
      <c r="AJ18" s="34">
        <f t="shared" si="1"/>
        <v>0</v>
      </c>
      <c r="AK18" s="35" t="str">
        <f t="shared" si="0"/>
        <v/>
      </c>
    </row>
    <row r="19" spans="2:37" x14ac:dyDescent="0.2">
      <c r="B19" s="24" t="s">
        <v>21</v>
      </c>
      <c r="C19" s="24"/>
      <c r="D19" s="33" t="b">
        <v>0</v>
      </c>
      <c r="E19" s="33" t="b">
        <v>0</v>
      </c>
      <c r="F19" s="33" t="b">
        <v>0</v>
      </c>
      <c r="G19" s="33" t="b">
        <v>0</v>
      </c>
      <c r="H19" s="33" t="b">
        <v>0</v>
      </c>
      <c r="I19" s="33" t="b">
        <v>0</v>
      </c>
      <c r="J19" s="33" t="b">
        <v>0</v>
      </c>
      <c r="K19" s="33" t="b">
        <v>0</v>
      </c>
      <c r="L19" s="33" t="b">
        <v>0</v>
      </c>
      <c r="M19" s="33" t="b">
        <v>0</v>
      </c>
      <c r="N19" s="33" t="b">
        <v>0</v>
      </c>
      <c r="O19" s="33" t="b">
        <v>0</v>
      </c>
      <c r="P19" s="33" t="b">
        <v>0</v>
      </c>
      <c r="Q19" s="33" t="b">
        <v>0</v>
      </c>
      <c r="R19" s="33" t="b">
        <v>0</v>
      </c>
      <c r="S19" s="33" t="b">
        <v>0</v>
      </c>
      <c r="T19" s="33" t="b">
        <v>0</v>
      </c>
      <c r="U19" s="33" t="b">
        <v>0</v>
      </c>
      <c r="V19" s="33" t="b">
        <v>0</v>
      </c>
      <c r="W19" s="33" t="b">
        <v>0</v>
      </c>
      <c r="X19" s="33" t="b">
        <v>0</v>
      </c>
      <c r="Y19" s="33" t="b">
        <v>0</v>
      </c>
      <c r="Z19" s="33" t="b">
        <v>0</v>
      </c>
      <c r="AA19" s="33" t="b">
        <v>0</v>
      </c>
      <c r="AB19" s="33" t="b">
        <v>0</v>
      </c>
      <c r="AC19" s="33" t="b">
        <v>0</v>
      </c>
      <c r="AD19" s="33" t="b">
        <v>0</v>
      </c>
      <c r="AE19" s="33" t="b">
        <v>0</v>
      </c>
      <c r="AF19" s="33" t="b">
        <v>0</v>
      </c>
      <c r="AG19" s="33" t="b">
        <v>0</v>
      </c>
      <c r="AH19" s="33" t="b">
        <v>0</v>
      </c>
      <c r="AI19" s="24"/>
      <c r="AJ19" s="34">
        <f t="shared" si="1"/>
        <v>0</v>
      </c>
      <c r="AK19" s="35" t="str">
        <f t="shared" si="0"/>
        <v/>
      </c>
    </row>
    <row r="20" spans="2:37" x14ac:dyDescent="0.2">
      <c r="B20" s="24" t="s">
        <v>20</v>
      </c>
      <c r="C20" s="24"/>
      <c r="D20" s="33" t="b">
        <v>0</v>
      </c>
      <c r="E20" s="33" t="b">
        <v>0</v>
      </c>
      <c r="F20" s="33" t="b">
        <v>0</v>
      </c>
      <c r="G20" s="33" t="b">
        <v>0</v>
      </c>
      <c r="H20" s="33" t="b">
        <v>0</v>
      </c>
      <c r="I20" s="33" t="b">
        <v>0</v>
      </c>
      <c r="J20" s="33" t="b">
        <v>0</v>
      </c>
      <c r="K20" s="33" t="b">
        <v>0</v>
      </c>
      <c r="L20" s="33" t="b">
        <v>0</v>
      </c>
      <c r="M20" s="33" t="b">
        <v>0</v>
      </c>
      <c r="N20" s="33" t="b">
        <v>0</v>
      </c>
      <c r="O20" s="33" t="b">
        <v>0</v>
      </c>
      <c r="P20" s="33" t="b">
        <v>0</v>
      </c>
      <c r="Q20" s="33" t="b">
        <v>0</v>
      </c>
      <c r="R20" s="33" t="b">
        <v>0</v>
      </c>
      <c r="S20" s="33" t="b">
        <v>0</v>
      </c>
      <c r="T20" s="33" t="b">
        <v>0</v>
      </c>
      <c r="U20" s="33" t="b">
        <v>0</v>
      </c>
      <c r="V20" s="33" t="b">
        <v>0</v>
      </c>
      <c r="W20" s="33" t="b">
        <v>0</v>
      </c>
      <c r="X20" s="33" t="b">
        <v>0</v>
      </c>
      <c r="Y20" s="33" t="b">
        <v>0</v>
      </c>
      <c r="Z20" s="33" t="b">
        <v>0</v>
      </c>
      <c r="AA20" s="33" t="b">
        <v>0</v>
      </c>
      <c r="AB20" s="33" t="b">
        <v>0</v>
      </c>
      <c r="AC20" s="33" t="b">
        <v>0</v>
      </c>
      <c r="AD20" s="33" t="b">
        <v>0</v>
      </c>
      <c r="AE20" s="33" t="b">
        <v>0</v>
      </c>
      <c r="AF20" s="33" t="b">
        <v>0</v>
      </c>
      <c r="AG20" s="33" t="b">
        <v>0</v>
      </c>
      <c r="AH20" s="33" t="b">
        <v>0</v>
      </c>
      <c r="AI20" s="24"/>
      <c r="AJ20" s="34">
        <f t="shared" si="1"/>
        <v>0</v>
      </c>
      <c r="AK20" s="35" t="str">
        <f t="shared" si="0"/>
        <v/>
      </c>
    </row>
    <row r="21" spans="2:37" x14ac:dyDescent="0.2">
      <c r="B21" s="24" t="s">
        <v>22</v>
      </c>
      <c r="C21" s="24"/>
      <c r="D21" s="33" t="b">
        <v>0</v>
      </c>
      <c r="E21" s="33" t="b">
        <v>0</v>
      </c>
      <c r="F21" s="33" t="b">
        <v>0</v>
      </c>
      <c r="G21" s="33" t="b">
        <v>0</v>
      </c>
      <c r="H21" s="33" t="b">
        <v>0</v>
      </c>
      <c r="I21" s="33" t="b">
        <v>0</v>
      </c>
      <c r="J21" s="33" t="b">
        <v>0</v>
      </c>
      <c r="K21" s="33" t="b">
        <v>0</v>
      </c>
      <c r="L21" s="33" t="b">
        <v>0</v>
      </c>
      <c r="M21" s="33" t="b">
        <v>0</v>
      </c>
      <c r="N21" s="33" t="b">
        <v>0</v>
      </c>
      <c r="O21" s="33" t="b">
        <v>0</v>
      </c>
      <c r="P21" s="33" t="b">
        <v>0</v>
      </c>
      <c r="Q21" s="33" t="b">
        <v>0</v>
      </c>
      <c r="R21" s="33" t="b">
        <v>0</v>
      </c>
      <c r="S21" s="33" t="b">
        <v>0</v>
      </c>
      <c r="T21" s="33" t="b">
        <v>0</v>
      </c>
      <c r="U21" s="33" t="b">
        <v>0</v>
      </c>
      <c r="V21" s="33" t="b">
        <v>0</v>
      </c>
      <c r="W21" s="33" t="b">
        <v>0</v>
      </c>
      <c r="X21" s="33" t="b">
        <v>0</v>
      </c>
      <c r="Y21" s="33" t="b">
        <v>0</v>
      </c>
      <c r="Z21" s="33" t="b">
        <v>0</v>
      </c>
      <c r="AA21" s="33" t="b">
        <v>0</v>
      </c>
      <c r="AB21" s="33" t="b">
        <v>0</v>
      </c>
      <c r="AC21" s="33" t="b">
        <v>0</v>
      </c>
      <c r="AD21" s="33" t="b">
        <v>0</v>
      </c>
      <c r="AE21" s="33" t="b">
        <v>0</v>
      </c>
      <c r="AF21" s="33" t="b">
        <v>0</v>
      </c>
      <c r="AG21" s="33" t="b">
        <v>0</v>
      </c>
      <c r="AH21" s="33" t="b">
        <v>0</v>
      </c>
      <c r="AI21" s="24"/>
      <c r="AJ21" s="34">
        <f t="shared" si="1"/>
        <v>0</v>
      </c>
      <c r="AK21" s="35" t="str">
        <f t="shared" si="0"/>
        <v/>
      </c>
    </row>
    <row r="22" spans="2:37" x14ac:dyDescent="0.2">
      <c r="B22" s="24" t="s">
        <v>5</v>
      </c>
      <c r="C22" s="24"/>
      <c r="D22" s="33" t="b">
        <v>0</v>
      </c>
      <c r="E22" s="33" t="b">
        <v>0</v>
      </c>
      <c r="F22" s="33" t="b">
        <v>0</v>
      </c>
      <c r="G22" s="33" t="b">
        <v>0</v>
      </c>
      <c r="H22" s="33" t="b">
        <v>0</v>
      </c>
      <c r="I22" s="33" t="b">
        <v>0</v>
      </c>
      <c r="J22" s="33" t="b">
        <v>0</v>
      </c>
      <c r="K22" s="33" t="b">
        <v>0</v>
      </c>
      <c r="L22" s="33" t="b">
        <v>0</v>
      </c>
      <c r="M22" s="33" t="b">
        <v>0</v>
      </c>
      <c r="N22" s="33" t="b">
        <v>0</v>
      </c>
      <c r="O22" s="33" t="b">
        <v>0</v>
      </c>
      <c r="P22" s="33" t="b">
        <v>0</v>
      </c>
      <c r="Q22" s="33" t="b">
        <v>0</v>
      </c>
      <c r="R22" s="33" t="b">
        <v>0</v>
      </c>
      <c r="S22" s="33" t="b">
        <v>0</v>
      </c>
      <c r="T22" s="33" t="b">
        <v>0</v>
      </c>
      <c r="U22" s="33" t="b">
        <v>0</v>
      </c>
      <c r="V22" s="33" t="b">
        <v>0</v>
      </c>
      <c r="W22" s="33" t="b">
        <v>0</v>
      </c>
      <c r="X22" s="33" t="b">
        <v>0</v>
      </c>
      <c r="Y22" s="33" t="b">
        <v>0</v>
      </c>
      <c r="Z22" s="33" t="b">
        <v>0</v>
      </c>
      <c r="AA22" s="33" t="b">
        <v>0</v>
      </c>
      <c r="AB22" s="33" t="b">
        <v>0</v>
      </c>
      <c r="AC22" s="33" t="b">
        <v>0</v>
      </c>
      <c r="AD22" s="33" t="b">
        <v>0</v>
      </c>
      <c r="AE22" s="33" t="b">
        <v>0</v>
      </c>
      <c r="AF22" s="33" t="b">
        <v>0</v>
      </c>
      <c r="AG22" s="33" t="b">
        <v>0</v>
      </c>
      <c r="AH22" s="33" t="b">
        <v>0</v>
      </c>
      <c r="AI22" s="24"/>
      <c r="AJ22" s="34">
        <f t="shared" si="1"/>
        <v>0</v>
      </c>
      <c r="AK22" s="35" t="str">
        <f t="shared" si="0"/>
        <v/>
      </c>
    </row>
    <row r="23" spans="2:37" x14ac:dyDescent="0.2">
      <c r="B23" s="24" t="s">
        <v>23</v>
      </c>
      <c r="C23" s="24"/>
      <c r="D23" s="33" t="b">
        <v>0</v>
      </c>
      <c r="E23" s="33" t="b">
        <v>0</v>
      </c>
      <c r="F23" s="33" t="b">
        <v>0</v>
      </c>
      <c r="G23" s="33" t="b">
        <v>0</v>
      </c>
      <c r="H23" s="33" t="b">
        <v>0</v>
      </c>
      <c r="I23" s="33" t="b">
        <v>0</v>
      </c>
      <c r="J23" s="33" t="b">
        <v>0</v>
      </c>
      <c r="K23" s="33" t="b">
        <v>0</v>
      </c>
      <c r="L23" s="33" t="b">
        <v>0</v>
      </c>
      <c r="M23" s="33" t="b">
        <v>0</v>
      </c>
      <c r="N23" s="33" t="b">
        <v>0</v>
      </c>
      <c r="O23" s="33" t="b">
        <v>0</v>
      </c>
      <c r="P23" s="33" t="b">
        <v>0</v>
      </c>
      <c r="Q23" s="33" t="b">
        <v>0</v>
      </c>
      <c r="R23" s="33" t="b">
        <v>0</v>
      </c>
      <c r="S23" s="33" t="b">
        <v>0</v>
      </c>
      <c r="T23" s="33" t="b">
        <v>0</v>
      </c>
      <c r="U23" s="33" t="b">
        <v>0</v>
      </c>
      <c r="V23" s="33" t="b">
        <v>0</v>
      </c>
      <c r="W23" s="33" t="b">
        <v>0</v>
      </c>
      <c r="X23" s="33" t="b">
        <v>0</v>
      </c>
      <c r="Y23" s="33" t="b">
        <v>0</v>
      </c>
      <c r="Z23" s="33" t="b">
        <v>0</v>
      </c>
      <c r="AA23" s="33" t="b">
        <v>0</v>
      </c>
      <c r="AB23" s="33" t="b">
        <v>0</v>
      </c>
      <c r="AC23" s="33" t="b">
        <v>0</v>
      </c>
      <c r="AD23" s="33" t="b">
        <v>0</v>
      </c>
      <c r="AE23" s="33" t="b">
        <v>0</v>
      </c>
      <c r="AF23" s="33" t="b">
        <v>0</v>
      </c>
      <c r="AG23" s="33" t="b">
        <v>0</v>
      </c>
      <c r="AH23" s="33" t="b">
        <v>0</v>
      </c>
      <c r="AI23" s="24"/>
      <c r="AJ23" s="34">
        <f t="shared" si="1"/>
        <v>0</v>
      </c>
      <c r="AK23" s="35" t="str">
        <f t="shared" si="0"/>
        <v/>
      </c>
    </row>
    <row r="24" spans="2:37" x14ac:dyDescent="0.2">
      <c r="B24" s="24" t="s">
        <v>24</v>
      </c>
      <c r="C24" s="24"/>
      <c r="D24" s="33" t="b">
        <v>0</v>
      </c>
      <c r="E24" s="33" t="b">
        <v>0</v>
      </c>
      <c r="F24" s="33" t="b">
        <v>0</v>
      </c>
      <c r="G24" s="33" t="b">
        <v>0</v>
      </c>
      <c r="H24" s="33" t="b">
        <v>0</v>
      </c>
      <c r="I24" s="33" t="b">
        <v>0</v>
      </c>
      <c r="J24" s="33" t="b">
        <v>0</v>
      </c>
      <c r="K24" s="33" t="b">
        <v>0</v>
      </c>
      <c r="L24" s="33" t="b">
        <v>0</v>
      </c>
      <c r="M24" s="33" t="b">
        <v>0</v>
      </c>
      <c r="N24" s="33" t="b">
        <v>0</v>
      </c>
      <c r="O24" s="33" t="b">
        <v>0</v>
      </c>
      <c r="P24" s="33" t="b">
        <v>0</v>
      </c>
      <c r="Q24" s="33" t="b">
        <v>0</v>
      </c>
      <c r="R24" s="33" t="b">
        <v>0</v>
      </c>
      <c r="S24" s="33" t="b">
        <v>0</v>
      </c>
      <c r="T24" s="33" t="b">
        <v>0</v>
      </c>
      <c r="U24" s="33" t="b">
        <v>0</v>
      </c>
      <c r="V24" s="33" t="b">
        <v>0</v>
      </c>
      <c r="W24" s="33" t="b">
        <v>0</v>
      </c>
      <c r="X24" s="33" t="b">
        <v>0</v>
      </c>
      <c r="Y24" s="33" t="b">
        <v>0</v>
      </c>
      <c r="Z24" s="33" t="b">
        <v>0</v>
      </c>
      <c r="AA24" s="33" t="b">
        <v>0</v>
      </c>
      <c r="AB24" s="33" t="b">
        <v>0</v>
      </c>
      <c r="AC24" s="33" t="b">
        <v>0</v>
      </c>
      <c r="AD24" s="33" t="b">
        <v>0</v>
      </c>
      <c r="AE24" s="33" t="b">
        <v>0</v>
      </c>
      <c r="AF24" s="33" t="b">
        <v>0</v>
      </c>
      <c r="AG24" s="33" t="b">
        <v>0</v>
      </c>
      <c r="AH24" s="33" t="b">
        <v>0</v>
      </c>
      <c r="AI24" s="24"/>
      <c r="AJ24" s="34">
        <f t="shared" si="1"/>
        <v>0</v>
      </c>
      <c r="AK24" s="35" t="str">
        <f t="shared" si="0"/>
        <v/>
      </c>
    </row>
    <row r="25" spans="2:37" s="13" customFormat="1" x14ac:dyDescent="0.2"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3" t="s">
        <v>37</v>
      </c>
    </row>
    <row r="26" spans="2:37" s="10" customFormat="1" x14ac:dyDescent="0.2">
      <c r="B26" s="10" t="s">
        <v>6</v>
      </c>
      <c r="D26" s="11">
        <f t="shared" ref="D26:AH26" si="2">COUNTIF(D15:D24,"TRUE")</f>
        <v>0</v>
      </c>
      <c r="E26" s="11">
        <f t="shared" si="2"/>
        <v>0</v>
      </c>
      <c r="F26" s="11">
        <f t="shared" si="2"/>
        <v>0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0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1">
        <f t="shared" si="2"/>
        <v>0</v>
      </c>
      <c r="O26" s="11">
        <f t="shared" si="2"/>
        <v>0</v>
      </c>
      <c r="P26" s="11">
        <f t="shared" si="2"/>
        <v>0</v>
      </c>
      <c r="Q26" s="11">
        <f t="shared" si="2"/>
        <v>0</v>
      </c>
      <c r="R26" s="11">
        <f t="shared" si="2"/>
        <v>0</v>
      </c>
      <c r="S26" s="11">
        <f t="shared" si="2"/>
        <v>0</v>
      </c>
      <c r="T26" s="11">
        <f t="shared" si="2"/>
        <v>0</v>
      </c>
      <c r="U26" s="11">
        <f t="shared" si="2"/>
        <v>0</v>
      </c>
      <c r="V26" s="11">
        <f t="shared" si="2"/>
        <v>0</v>
      </c>
      <c r="W26" s="11">
        <f t="shared" si="2"/>
        <v>0</v>
      </c>
      <c r="X26" s="11">
        <f t="shared" si="2"/>
        <v>0</v>
      </c>
      <c r="Y26" s="11">
        <f t="shared" si="2"/>
        <v>0</v>
      </c>
      <c r="Z26" s="11">
        <f t="shared" si="2"/>
        <v>0</v>
      </c>
      <c r="AA26" s="11">
        <f t="shared" si="2"/>
        <v>0</v>
      </c>
      <c r="AB26" s="11">
        <f t="shared" si="2"/>
        <v>0</v>
      </c>
      <c r="AC26" s="11">
        <f t="shared" si="2"/>
        <v>0</v>
      </c>
      <c r="AD26" s="11">
        <f t="shared" si="2"/>
        <v>0</v>
      </c>
      <c r="AE26" s="11">
        <f t="shared" si="2"/>
        <v>0</v>
      </c>
      <c r="AF26" s="11">
        <f t="shared" si="2"/>
        <v>0</v>
      </c>
      <c r="AG26" s="11">
        <f t="shared" si="2"/>
        <v>0</v>
      </c>
      <c r="AH26" s="11">
        <f t="shared" si="2"/>
        <v>0</v>
      </c>
    </row>
    <row r="27" spans="2:37" s="10" customFormat="1" x14ac:dyDescent="0.2">
      <c r="B27" s="10" t="s">
        <v>7</v>
      </c>
      <c r="D27" s="12">
        <f t="shared" ref="D27:AH27" si="3">D26/COUNTA(D15:D24)</f>
        <v>0</v>
      </c>
      <c r="E27" s="12">
        <f t="shared" si="3"/>
        <v>0</v>
      </c>
      <c r="F27" s="12">
        <f t="shared" si="3"/>
        <v>0</v>
      </c>
      <c r="G27" s="12">
        <f t="shared" si="3"/>
        <v>0</v>
      </c>
      <c r="H27" s="12">
        <f t="shared" si="3"/>
        <v>0</v>
      </c>
      <c r="I27" s="12">
        <f t="shared" si="3"/>
        <v>0</v>
      </c>
      <c r="J27" s="12">
        <f t="shared" si="3"/>
        <v>0</v>
      </c>
      <c r="K27" s="12">
        <f t="shared" si="3"/>
        <v>0</v>
      </c>
      <c r="L27" s="12">
        <f t="shared" si="3"/>
        <v>0</v>
      </c>
      <c r="M27" s="12">
        <f t="shared" si="3"/>
        <v>0</v>
      </c>
      <c r="N27" s="12">
        <f t="shared" si="3"/>
        <v>0</v>
      </c>
      <c r="O27" s="12">
        <f t="shared" si="3"/>
        <v>0</v>
      </c>
      <c r="P27" s="12">
        <f t="shared" si="3"/>
        <v>0</v>
      </c>
      <c r="Q27" s="12">
        <f t="shared" si="3"/>
        <v>0</v>
      </c>
      <c r="R27" s="12">
        <f t="shared" si="3"/>
        <v>0</v>
      </c>
      <c r="S27" s="12">
        <f t="shared" si="3"/>
        <v>0</v>
      </c>
      <c r="T27" s="12">
        <f t="shared" si="3"/>
        <v>0</v>
      </c>
      <c r="U27" s="12">
        <f t="shared" si="3"/>
        <v>0</v>
      </c>
      <c r="V27" s="12">
        <f t="shared" si="3"/>
        <v>0</v>
      </c>
      <c r="W27" s="12">
        <f t="shared" si="3"/>
        <v>0</v>
      </c>
      <c r="X27" s="12">
        <f t="shared" si="3"/>
        <v>0</v>
      </c>
      <c r="Y27" s="12">
        <f t="shared" si="3"/>
        <v>0</v>
      </c>
      <c r="Z27" s="12">
        <f t="shared" si="3"/>
        <v>0</v>
      </c>
      <c r="AA27" s="12">
        <f t="shared" si="3"/>
        <v>0</v>
      </c>
      <c r="AB27" s="12">
        <f t="shared" si="3"/>
        <v>0</v>
      </c>
      <c r="AC27" s="12">
        <f t="shared" si="3"/>
        <v>0</v>
      </c>
      <c r="AD27" s="12">
        <f t="shared" si="3"/>
        <v>0</v>
      </c>
      <c r="AE27" s="12">
        <f t="shared" si="3"/>
        <v>0</v>
      </c>
      <c r="AF27" s="12">
        <f t="shared" si="3"/>
        <v>0</v>
      </c>
      <c r="AG27" s="12">
        <f t="shared" si="3"/>
        <v>0</v>
      </c>
      <c r="AH27" s="12">
        <f t="shared" si="3"/>
        <v>0</v>
      </c>
    </row>
    <row r="28" spans="2:37" s="13" customFormat="1" hidden="1" x14ac:dyDescent="0.2"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2:37" s="15" customFormat="1" hidden="1" x14ac:dyDescent="0.2"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 t="s">
        <v>8</v>
      </c>
      <c r="Y29" s="8"/>
    </row>
  </sheetData>
  <sheetProtection algorithmName="SHA-512" hashValue="QJK4lp0TmXB2XsvDui4dmVBEMptblMGZdlcgLfWWeLXUtQOv710y5FHEudf6U74EFM+Qzyrp65X0BYxJTD0tMQ==" saltValue="p+DvW+0ZdKVyRvyRUTu23w==" spinCount="100000" sheet="1" objects="1" scenarios="1"/>
  <mergeCells count="8">
    <mergeCell ref="AJ12:AJ14"/>
    <mergeCell ref="AK12:AK14"/>
    <mergeCell ref="B12:B14"/>
    <mergeCell ref="D12:J12"/>
    <mergeCell ref="K12:Q12"/>
    <mergeCell ref="R12:X12"/>
    <mergeCell ref="Y12:AE12"/>
    <mergeCell ref="AF12:AH12"/>
  </mergeCells>
  <conditionalFormatting sqref="AC5:AC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{15A8BDBD-3D22-6E40-B4ED-FE87135699A5}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A8BDBD-3D22-6E40-B4ED-FE87135699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AC5:AC7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4928-B60C-A447-A16F-E0E1123488C2}">
  <dimension ref="A1:XFC29"/>
  <sheetViews>
    <sheetView topLeftCell="B1" workbookViewId="0">
      <selection activeCell="D15" sqref="D15:Y24"/>
    </sheetView>
  </sheetViews>
  <sheetFormatPr baseColWidth="10" defaultColWidth="0" defaultRowHeight="16" customHeight="1" zeroHeight="1" x14ac:dyDescent="0.2"/>
  <cols>
    <col min="1" max="1" width="11.1640625" hidden="1"/>
    <col min="2" max="2" width="31" customWidth="1"/>
    <col min="3" max="3" width="0.1640625" hidden="1"/>
    <col min="4" max="4" width="4.83203125" customWidth="1"/>
    <col min="5" max="5" width="3.6640625" style="1" customWidth="1"/>
    <col min="6" max="6" width="4.6640625" style="1" customWidth="1"/>
    <col min="7" max="7" width="4.1640625" style="1" customWidth="1"/>
    <col min="8" max="8" width="5.1640625" style="1" customWidth="1"/>
    <col min="9" max="9" width="5.5" style="1" customWidth="1"/>
    <col min="10" max="11" width="6.1640625" style="1" customWidth="1"/>
    <col min="12" max="12" width="6.33203125" style="1" customWidth="1"/>
    <col min="13" max="17" width="6.1640625" style="1" customWidth="1"/>
    <col min="18" max="18" width="5" style="1" customWidth="1"/>
    <col min="19" max="19" width="6.1640625" style="1" customWidth="1"/>
    <col min="20" max="20" width="6.5" style="1" customWidth="1"/>
    <col min="21" max="22" width="6.1640625" style="1" customWidth="1"/>
    <col min="23" max="24" width="5.83203125" style="1" customWidth="1"/>
    <col min="25" max="25" width="8" style="1" customWidth="1"/>
    <col min="26" max="26" width="5.83203125" customWidth="1"/>
    <col min="27" max="27" width="6.83203125" customWidth="1"/>
    <col min="28" max="28" width="5.6640625" customWidth="1"/>
    <col min="29" max="29" width="6" customWidth="1"/>
    <col min="30" max="30" width="7.33203125" customWidth="1"/>
    <col min="31" max="31" width="6.83203125" customWidth="1"/>
    <col min="32" max="32" width="7.1640625" customWidth="1"/>
    <col min="33" max="33" width="7.6640625" customWidth="1"/>
    <col min="34" max="34" width="8" customWidth="1"/>
    <col min="35" max="35" width="11.33203125" hidden="1"/>
    <col min="36" max="36" width="16.33203125" customWidth="1"/>
    <col min="37" max="37" width="20.5" customWidth="1"/>
    <col min="38" max="16377" width="11.1640625" hidden="1"/>
    <col min="16378" max="16378" width="14" hidden="1"/>
    <col min="16379" max="16379" width="14.5" hidden="1"/>
    <col min="16380" max="16382" width="0.1640625" hidden="1"/>
    <col min="16383" max="16383" width="20" hidden="1"/>
    <col min="16384" max="16384" width="31.1640625" hidden="1"/>
  </cols>
  <sheetData>
    <row r="1" spans="2:37" x14ac:dyDescent="0.2"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2:37" x14ac:dyDescent="0.2">
      <c r="B2" s="9" t="s">
        <v>27</v>
      </c>
      <c r="C2" s="5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3"/>
      <c r="AA2" s="3"/>
      <c r="AB2" s="3"/>
      <c r="AC2" s="3"/>
      <c r="AD2" s="3"/>
      <c r="AE2" s="3"/>
      <c r="AF2" s="3"/>
      <c r="AG2" s="3"/>
      <c r="AH2" s="3"/>
      <c r="AI2" s="3"/>
      <c r="AJ2" s="4"/>
      <c r="AK2" s="36" t="s">
        <v>30</v>
      </c>
    </row>
    <row r="3" spans="2:37" x14ac:dyDescent="0.2">
      <c r="B3" s="6">
        <v>46023</v>
      </c>
      <c r="C3" s="6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4"/>
      <c r="AK3" s="7">
        <f>COUNTIF(D27:AH27,"100%")</f>
        <v>0</v>
      </c>
    </row>
    <row r="4" spans="2:37" x14ac:dyDescent="0.2">
      <c r="B4" s="40" t="s">
        <v>0</v>
      </c>
      <c r="C4" s="5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3"/>
      <c r="AA4" s="3"/>
      <c r="AB4" s="3"/>
      <c r="AC4" s="3"/>
      <c r="AD4" s="3"/>
      <c r="AE4" s="3"/>
      <c r="AF4" s="3"/>
      <c r="AG4" s="3"/>
      <c r="AH4" s="3"/>
      <c r="AI4" s="3"/>
      <c r="AJ4" s="4"/>
      <c r="AK4" s="37" t="s">
        <v>31</v>
      </c>
    </row>
    <row r="5" spans="2:37" x14ac:dyDescent="0.2">
      <c r="B5" s="4" t="str">
        <f>_xlfn.XLOOKUP(MAX(AJ15:AJ24),AJ15:AJ24,B15:B24)</f>
        <v>Daily Exercise</v>
      </c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3"/>
      <c r="AA5" s="3"/>
      <c r="AB5" s="3"/>
      <c r="AC5" s="3"/>
      <c r="AD5" s="3"/>
      <c r="AE5" s="3"/>
      <c r="AF5" s="3"/>
      <c r="AG5" s="3"/>
      <c r="AH5" s="3"/>
      <c r="AI5" s="3"/>
      <c r="AJ5" s="4"/>
      <c r="AK5" s="7">
        <f>COUNTIF(D27:AH27,"&gt;50%")</f>
        <v>0</v>
      </c>
    </row>
    <row r="6" spans="2:37" x14ac:dyDescent="0.2">
      <c r="B6" s="4" t="s">
        <v>22</v>
      </c>
      <c r="C6" s="4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3"/>
      <c r="AA6" s="3"/>
      <c r="AB6" s="3"/>
      <c r="AC6" s="3"/>
      <c r="AD6" s="3"/>
      <c r="AE6" s="3"/>
      <c r="AF6" s="3"/>
      <c r="AG6" s="3"/>
      <c r="AH6" s="3"/>
      <c r="AI6" s="3"/>
      <c r="AJ6" s="4"/>
      <c r="AK6" s="3"/>
    </row>
    <row r="7" spans="2:37" x14ac:dyDescent="0.2">
      <c r="B7" s="39" t="s">
        <v>1</v>
      </c>
      <c r="C7" s="5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4"/>
      <c r="AK7" s="38" t="s">
        <v>32</v>
      </c>
    </row>
    <row r="8" spans="2:37" x14ac:dyDescent="0.2">
      <c r="B8" s="4" t="s">
        <v>34</v>
      </c>
      <c r="C8" s="4"/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3"/>
      <c r="AA8" s="3"/>
      <c r="AB8" s="3"/>
      <c r="AC8" s="3"/>
      <c r="AD8" s="3"/>
      <c r="AE8" s="3"/>
      <c r="AF8" s="3"/>
      <c r="AG8" s="3"/>
      <c r="AH8" s="3"/>
      <c r="AI8" s="3"/>
      <c r="AJ8" s="4"/>
      <c r="AK8" s="7">
        <f>COUNTIF(D27:AH27,"0%")</f>
        <v>31</v>
      </c>
    </row>
    <row r="9" spans="2:37" x14ac:dyDescent="0.2">
      <c r="B9" s="4" t="s">
        <v>35</v>
      </c>
      <c r="C9" s="4"/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3"/>
      <c r="AA9" s="3"/>
      <c r="AB9" s="3"/>
      <c r="AC9" s="3"/>
      <c r="AD9" s="3"/>
      <c r="AE9" s="3"/>
      <c r="AF9" s="3"/>
      <c r="AG9" s="3"/>
      <c r="AH9" s="3"/>
      <c r="AI9" s="3"/>
      <c r="AJ9" s="4"/>
      <c r="AK9" s="7"/>
    </row>
    <row r="10" spans="2:37" x14ac:dyDescent="0.2">
      <c r="B10" s="4" t="s">
        <v>36</v>
      </c>
      <c r="C10" s="4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4"/>
      <c r="AK10" s="7"/>
    </row>
    <row r="11" spans="2:37" x14ac:dyDescent="0.2">
      <c r="B11" s="4"/>
      <c r="C11" s="4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4"/>
      <c r="AK11" s="7"/>
    </row>
    <row r="12" spans="2:37" ht="16" customHeight="1" x14ac:dyDescent="0.2">
      <c r="B12" s="45" t="s">
        <v>25</v>
      </c>
      <c r="C12" s="18"/>
      <c r="D12" s="53" t="s">
        <v>26</v>
      </c>
      <c r="E12" s="53"/>
      <c r="F12" s="53"/>
      <c r="G12" s="53"/>
      <c r="H12" s="53"/>
      <c r="I12" s="53"/>
      <c r="J12" s="53"/>
      <c r="K12" s="54" t="s">
        <v>2</v>
      </c>
      <c r="L12" s="54"/>
      <c r="M12" s="54"/>
      <c r="N12" s="54"/>
      <c r="O12" s="54"/>
      <c r="P12" s="54"/>
      <c r="Q12" s="54"/>
      <c r="R12" s="55" t="s">
        <v>3</v>
      </c>
      <c r="S12" s="55"/>
      <c r="T12" s="55"/>
      <c r="U12" s="55"/>
      <c r="V12" s="55"/>
      <c r="W12" s="55"/>
      <c r="X12" s="55"/>
      <c r="Y12" s="56" t="s">
        <v>9</v>
      </c>
      <c r="Z12" s="56"/>
      <c r="AA12" s="56"/>
      <c r="AB12" s="56"/>
      <c r="AC12" s="56"/>
      <c r="AD12" s="56"/>
      <c r="AE12" s="56"/>
      <c r="AF12" s="57" t="s">
        <v>17</v>
      </c>
      <c r="AG12" s="57"/>
      <c r="AH12" s="57"/>
      <c r="AI12" s="24"/>
      <c r="AJ12" s="47" t="s">
        <v>28</v>
      </c>
      <c r="AK12" s="50" t="s">
        <v>29</v>
      </c>
    </row>
    <row r="13" spans="2:37" s="2" customFormat="1" x14ac:dyDescent="0.2">
      <c r="B13" s="46"/>
      <c r="C13" s="18"/>
      <c r="D13" s="19" t="s">
        <v>15</v>
      </c>
      <c r="E13" s="19" t="s">
        <v>16</v>
      </c>
      <c r="F13" s="19" t="s">
        <v>10</v>
      </c>
      <c r="G13" s="19" t="s">
        <v>11</v>
      </c>
      <c r="H13" s="19" t="s">
        <v>12</v>
      </c>
      <c r="I13" s="19" t="s">
        <v>13</v>
      </c>
      <c r="J13" s="19" t="s">
        <v>14</v>
      </c>
      <c r="K13" s="19" t="s">
        <v>15</v>
      </c>
      <c r="L13" s="19" t="s">
        <v>16</v>
      </c>
      <c r="M13" s="19" t="s">
        <v>10</v>
      </c>
      <c r="N13" s="19" t="s">
        <v>11</v>
      </c>
      <c r="O13" s="19" t="s">
        <v>12</v>
      </c>
      <c r="P13" s="19" t="s">
        <v>13</v>
      </c>
      <c r="Q13" s="19" t="s">
        <v>14</v>
      </c>
      <c r="R13" s="19" t="s">
        <v>15</v>
      </c>
      <c r="S13" s="19" t="s">
        <v>16</v>
      </c>
      <c r="T13" s="19" t="s">
        <v>10</v>
      </c>
      <c r="U13" s="19" t="s">
        <v>11</v>
      </c>
      <c r="V13" s="19" t="s">
        <v>12</v>
      </c>
      <c r="W13" s="19" t="s">
        <v>13</v>
      </c>
      <c r="X13" s="19" t="s">
        <v>14</v>
      </c>
      <c r="Y13" s="19" t="s">
        <v>15</v>
      </c>
      <c r="Z13" s="19" t="s">
        <v>16</v>
      </c>
      <c r="AA13" s="19" t="s">
        <v>10</v>
      </c>
      <c r="AB13" s="19" t="s">
        <v>11</v>
      </c>
      <c r="AC13" s="19" t="s">
        <v>12</v>
      </c>
      <c r="AD13" s="19" t="s">
        <v>13</v>
      </c>
      <c r="AE13" s="19" t="s">
        <v>14</v>
      </c>
      <c r="AF13" s="19" t="s">
        <v>15</v>
      </c>
      <c r="AG13" s="19" t="s">
        <v>16</v>
      </c>
      <c r="AH13" s="19" t="s">
        <v>10</v>
      </c>
      <c r="AI13" s="26"/>
      <c r="AJ13" s="48"/>
      <c r="AK13" s="51"/>
    </row>
    <row r="14" spans="2:37" s="2" customFormat="1" x14ac:dyDescent="0.2">
      <c r="B14" s="46"/>
      <c r="C14" s="18"/>
      <c r="D14" s="27" cm="1">
        <f t="array" ref="D14:X14">_xlfn.SEQUENCE(,21)</f>
        <v>1</v>
      </c>
      <c r="E14" s="27">
        <v>2</v>
      </c>
      <c r="F14" s="27">
        <v>3</v>
      </c>
      <c r="G14" s="27">
        <v>4</v>
      </c>
      <c r="H14" s="27">
        <v>5</v>
      </c>
      <c r="I14" s="27">
        <v>6</v>
      </c>
      <c r="J14" s="27">
        <v>7</v>
      </c>
      <c r="K14" s="28">
        <v>8</v>
      </c>
      <c r="L14" s="28">
        <v>9</v>
      </c>
      <c r="M14" s="28">
        <v>10</v>
      </c>
      <c r="N14" s="28">
        <v>11</v>
      </c>
      <c r="O14" s="28">
        <v>12</v>
      </c>
      <c r="P14" s="28">
        <v>13</v>
      </c>
      <c r="Q14" s="28">
        <v>14</v>
      </c>
      <c r="R14" s="29">
        <v>15</v>
      </c>
      <c r="S14" s="29">
        <v>16</v>
      </c>
      <c r="T14" s="29">
        <v>17</v>
      </c>
      <c r="U14" s="29">
        <v>18</v>
      </c>
      <c r="V14" s="29">
        <v>19</v>
      </c>
      <c r="W14" s="29">
        <v>20</v>
      </c>
      <c r="X14" s="29">
        <v>21</v>
      </c>
      <c r="Y14" s="30">
        <v>22</v>
      </c>
      <c r="Z14" s="30">
        <v>23</v>
      </c>
      <c r="AA14" s="30">
        <v>24</v>
      </c>
      <c r="AB14" s="30">
        <v>25</v>
      </c>
      <c r="AC14" s="30">
        <v>26</v>
      </c>
      <c r="AD14" s="30">
        <v>27</v>
      </c>
      <c r="AE14" s="30">
        <v>28</v>
      </c>
      <c r="AF14" s="31">
        <v>29</v>
      </c>
      <c r="AG14" s="32">
        <v>30</v>
      </c>
      <c r="AH14" s="32">
        <v>31</v>
      </c>
      <c r="AI14" s="26"/>
      <c r="AJ14" s="49"/>
      <c r="AK14" s="52"/>
    </row>
    <row r="15" spans="2:37" x14ac:dyDescent="0.2">
      <c r="B15" s="24" t="s">
        <v>4</v>
      </c>
      <c r="C15" s="24"/>
      <c r="D15" s="33" t="b">
        <v>0</v>
      </c>
      <c r="E15" s="33" t="b">
        <v>0</v>
      </c>
      <c r="F15" s="33" t="b">
        <v>0</v>
      </c>
      <c r="G15" s="33" t="b">
        <v>0</v>
      </c>
      <c r="H15" s="33" t="b">
        <v>0</v>
      </c>
      <c r="I15" s="33" t="b">
        <v>0</v>
      </c>
      <c r="J15" s="33" t="b">
        <v>0</v>
      </c>
      <c r="K15" s="33" t="b">
        <v>0</v>
      </c>
      <c r="L15" s="33" t="b">
        <v>0</v>
      </c>
      <c r="M15" s="33" t="b">
        <v>0</v>
      </c>
      <c r="N15" s="33" t="b">
        <v>0</v>
      </c>
      <c r="O15" s="33" t="b">
        <v>0</v>
      </c>
      <c r="P15" s="33" t="b">
        <v>0</v>
      </c>
      <c r="Q15" s="33" t="b">
        <v>0</v>
      </c>
      <c r="R15" s="33" t="b">
        <v>0</v>
      </c>
      <c r="S15" s="33" t="b">
        <v>0</v>
      </c>
      <c r="T15" s="33" t="b">
        <v>0</v>
      </c>
      <c r="U15" s="33" t="b">
        <v>0</v>
      </c>
      <c r="V15" s="33" t="b">
        <v>0</v>
      </c>
      <c r="W15" s="33" t="b">
        <v>0</v>
      </c>
      <c r="X15" s="33" t="b">
        <v>0</v>
      </c>
      <c r="Y15" s="33" t="b">
        <v>0</v>
      </c>
      <c r="Z15" s="33" t="b">
        <v>0</v>
      </c>
      <c r="AA15" s="33" t="b">
        <v>0</v>
      </c>
      <c r="AB15" s="33" t="b">
        <v>0</v>
      </c>
      <c r="AC15" s="33" t="b">
        <v>0</v>
      </c>
      <c r="AD15" s="33" t="b">
        <v>0</v>
      </c>
      <c r="AE15" s="33" t="b">
        <v>0</v>
      </c>
      <c r="AF15" s="33" t="b">
        <v>0</v>
      </c>
      <c r="AG15" s="33" t="b">
        <v>0</v>
      </c>
      <c r="AH15" s="33" t="b">
        <v>0</v>
      </c>
      <c r="AI15" s="24"/>
      <c r="AJ15" s="34">
        <f>COUNTIF(D15:AH15,"TRUE")</f>
        <v>0</v>
      </c>
      <c r="AK15" s="35" t="str">
        <f t="shared" ref="AK15:AK24" si="0">REPT("|",AJ15*4)</f>
        <v/>
      </c>
    </row>
    <row r="16" spans="2:37" x14ac:dyDescent="0.2">
      <c r="B16" s="24" t="s">
        <v>18</v>
      </c>
      <c r="C16" s="24"/>
      <c r="D16" s="33" t="b">
        <v>0</v>
      </c>
      <c r="E16" s="33" t="b">
        <v>0</v>
      </c>
      <c r="F16" s="33" t="b">
        <v>0</v>
      </c>
      <c r="G16" s="33" t="b">
        <v>0</v>
      </c>
      <c r="H16" s="33" t="b">
        <v>0</v>
      </c>
      <c r="I16" s="33" t="b">
        <v>0</v>
      </c>
      <c r="J16" s="33" t="b">
        <v>0</v>
      </c>
      <c r="K16" s="33" t="b">
        <v>0</v>
      </c>
      <c r="L16" s="33" t="b">
        <v>0</v>
      </c>
      <c r="M16" s="33" t="b">
        <v>0</v>
      </c>
      <c r="N16" s="33" t="b">
        <v>0</v>
      </c>
      <c r="O16" s="33" t="b">
        <v>0</v>
      </c>
      <c r="P16" s="33" t="b">
        <v>0</v>
      </c>
      <c r="Q16" s="33" t="b">
        <v>0</v>
      </c>
      <c r="R16" s="33" t="b">
        <v>0</v>
      </c>
      <c r="S16" s="33" t="b">
        <v>0</v>
      </c>
      <c r="T16" s="33" t="b">
        <v>0</v>
      </c>
      <c r="U16" s="33" t="b">
        <v>0</v>
      </c>
      <c r="V16" s="33" t="b">
        <v>0</v>
      </c>
      <c r="W16" s="33" t="b">
        <v>0</v>
      </c>
      <c r="X16" s="33" t="b">
        <v>0</v>
      </c>
      <c r="Y16" s="33" t="b">
        <v>0</v>
      </c>
      <c r="Z16" s="33" t="b">
        <v>0</v>
      </c>
      <c r="AA16" s="33" t="b">
        <v>0</v>
      </c>
      <c r="AB16" s="33" t="b">
        <v>0</v>
      </c>
      <c r="AC16" s="33" t="b">
        <v>0</v>
      </c>
      <c r="AD16" s="33" t="b">
        <v>0</v>
      </c>
      <c r="AE16" s="33" t="b">
        <v>0</v>
      </c>
      <c r="AF16" s="33" t="b">
        <v>0</v>
      </c>
      <c r="AG16" s="33" t="b">
        <v>0</v>
      </c>
      <c r="AH16" s="33" t="b">
        <v>0</v>
      </c>
      <c r="AI16" s="24"/>
      <c r="AJ16" s="34">
        <f t="shared" ref="AJ16:AJ24" si="1">COUNTIF(D16:AH16,"TRUE")</f>
        <v>0</v>
      </c>
      <c r="AK16" s="35" t="str">
        <f t="shared" si="0"/>
        <v/>
      </c>
    </row>
    <row r="17" spans="2:37" x14ac:dyDescent="0.2">
      <c r="B17" s="24" t="s">
        <v>19</v>
      </c>
      <c r="C17" s="24"/>
      <c r="D17" s="33" t="b">
        <v>0</v>
      </c>
      <c r="E17" s="33" t="b">
        <v>0</v>
      </c>
      <c r="F17" s="33" t="b">
        <v>0</v>
      </c>
      <c r="G17" s="33" t="b">
        <v>0</v>
      </c>
      <c r="H17" s="33" t="b">
        <v>0</v>
      </c>
      <c r="I17" s="33" t="b">
        <v>0</v>
      </c>
      <c r="J17" s="33" t="b">
        <v>0</v>
      </c>
      <c r="K17" s="33" t="b">
        <v>0</v>
      </c>
      <c r="L17" s="33" t="b">
        <v>0</v>
      </c>
      <c r="M17" s="33" t="b">
        <v>0</v>
      </c>
      <c r="N17" s="33" t="b">
        <v>0</v>
      </c>
      <c r="O17" s="33" t="b">
        <v>0</v>
      </c>
      <c r="P17" s="33" t="b">
        <v>0</v>
      </c>
      <c r="Q17" s="33" t="b">
        <v>0</v>
      </c>
      <c r="R17" s="33" t="b">
        <v>0</v>
      </c>
      <c r="S17" s="33" t="b">
        <v>0</v>
      </c>
      <c r="T17" s="33" t="b">
        <v>0</v>
      </c>
      <c r="U17" s="33" t="b">
        <v>0</v>
      </c>
      <c r="V17" s="33" t="b">
        <v>0</v>
      </c>
      <c r="W17" s="33" t="b">
        <v>0</v>
      </c>
      <c r="X17" s="33" t="b">
        <v>0</v>
      </c>
      <c r="Y17" s="33" t="b">
        <v>0</v>
      </c>
      <c r="Z17" s="33" t="b">
        <v>0</v>
      </c>
      <c r="AA17" s="33" t="b">
        <v>0</v>
      </c>
      <c r="AB17" s="33" t="b">
        <v>0</v>
      </c>
      <c r="AC17" s="33" t="b">
        <v>0</v>
      </c>
      <c r="AD17" s="33" t="b">
        <v>0</v>
      </c>
      <c r="AE17" s="33" t="b">
        <v>0</v>
      </c>
      <c r="AF17" s="33" t="b">
        <v>0</v>
      </c>
      <c r="AG17" s="33" t="b">
        <v>0</v>
      </c>
      <c r="AH17" s="33" t="b">
        <v>0</v>
      </c>
      <c r="AI17" s="24"/>
      <c r="AJ17" s="34">
        <f t="shared" si="1"/>
        <v>0</v>
      </c>
      <c r="AK17" s="35" t="str">
        <f t="shared" si="0"/>
        <v/>
      </c>
    </row>
    <row r="18" spans="2:37" x14ac:dyDescent="0.2">
      <c r="B18" s="24" t="s">
        <v>33</v>
      </c>
      <c r="C18" s="24"/>
      <c r="D18" s="33" t="b">
        <v>0</v>
      </c>
      <c r="E18" s="33" t="b">
        <v>0</v>
      </c>
      <c r="F18" s="33" t="b">
        <v>0</v>
      </c>
      <c r="G18" s="33" t="b">
        <v>0</v>
      </c>
      <c r="H18" s="33" t="b">
        <v>0</v>
      </c>
      <c r="I18" s="33" t="b">
        <v>0</v>
      </c>
      <c r="J18" s="33" t="b">
        <v>0</v>
      </c>
      <c r="K18" s="33" t="b">
        <v>0</v>
      </c>
      <c r="L18" s="33" t="b">
        <v>0</v>
      </c>
      <c r="M18" s="33" t="b">
        <v>0</v>
      </c>
      <c r="N18" s="33" t="b">
        <v>0</v>
      </c>
      <c r="O18" s="33" t="b">
        <v>0</v>
      </c>
      <c r="P18" s="33" t="b">
        <v>0</v>
      </c>
      <c r="Q18" s="33" t="b">
        <v>0</v>
      </c>
      <c r="R18" s="33" t="b">
        <v>0</v>
      </c>
      <c r="S18" s="33" t="b">
        <v>0</v>
      </c>
      <c r="T18" s="33" t="b">
        <v>0</v>
      </c>
      <c r="U18" s="33" t="b">
        <v>0</v>
      </c>
      <c r="V18" s="33" t="b">
        <v>0</v>
      </c>
      <c r="W18" s="33" t="b">
        <v>0</v>
      </c>
      <c r="X18" s="33" t="b">
        <v>0</v>
      </c>
      <c r="Y18" s="33" t="b">
        <v>0</v>
      </c>
      <c r="Z18" s="33" t="b">
        <v>0</v>
      </c>
      <c r="AA18" s="33" t="b">
        <v>0</v>
      </c>
      <c r="AB18" s="33" t="b">
        <v>0</v>
      </c>
      <c r="AC18" s="33" t="b">
        <v>0</v>
      </c>
      <c r="AD18" s="33" t="b">
        <v>0</v>
      </c>
      <c r="AE18" s="33" t="b">
        <v>0</v>
      </c>
      <c r="AF18" s="33" t="b">
        <v>0</v>
      </c>
      <c r="AG18" s="33" t="b">
        <v>0</v>
      </c>
      <c r="AH18" s="33" t="b">
        <v>0</v>
      </c>
      <c r="AI18" s="24"/>
      <c r="AJ18" s="34">
        <f t="shared" si="1"/>
        <v>0</v>
      </c>
      <c r="AK18" s="35" t="str">
        <f t="shared" si="0"/>
        <v/>
      </c>
    </row>
    <row r="19" spans="2:37" x14ac:dyDescent="0.2">
      <c r="B19" s="24" t="s">
        <v>21</v>
      </c>
      <c r="C19" s="24"/>
      <c r="D19" s="33" t="b">
        <v>0</v>
      </c>
      <c r="E19" s="33" t="b">
        <v>0</v>
      </c>
      <c r="F19" s="33" t="b">
        <v>0</v>
      </c>
      <c r="G19" s="33" t="b">
        <v>0</v>
      </c>
      <c r="H19" s="33" t="b">
        <v>0</v>
      </c>
      <c r="I19" s="33" t="b">
        <v>0</v>
      </c>
      <c r="J19" s="33" t="b">
        <v>0</v>
      </c>
      <c r="K19" s="33" t="b">
        <v>0</v>
      </c>
      <c r="L19" s="33" t="b">
        <v>0</v>
      </c>
      <c r="M19" s="33" t="b">
        <v>0</v>
      </c>
      <c r="N19" s="33" t="b">
        <v>0</v>
      </c>
      <c r="O19" s="33" t="b">
        <v>0</v>
      </c>
      <c r="P19" s="33" t="b">
        <v>0</v>
      </c>
      <c r="Q19" s="33" t="b">
        <v>0</v>
      </c>
      <c r="R19" s="33" t="b">
        <v>0</v>
      </c>
      <c r="S19" s="33" t="b">
        <v>0</v>
      </c>
      <c r="T19" s="33" t="b">
        <v>0</v>
      </c>
      <c r="U19" s="33" t="b">
        <v>0</v>
      </c>
      <c r="V19" s="33" t="b">
        <v>0</v>
      </c>
      <c r="W19" s="33" t="b">
        <v>0</v>
      </c>
      <c r="X19" s="33" t="b">
        <v>0</v>
      </c>
      <c r="Y19" s="33" t="b">
        <v>0</v>
      </c>
      <c r="Z19" s="33" t="b">
        <v>0</v>
      </c>
      <c r="AA19" s="33" t="b">
        <v>0</v>
      </c>
      <c r="AB19" s="33" t="b">
        <v>0</v>
      </c>
      <c r="AC19" s="33" t="b">
        <v>0</v>
      </c>
      <c r="AD19" s="33" t="b">
        <v>0</v>
      </c>
      <c r="AE19" s="33" t="b">
        <v>0</v>
      </c>
      <c r="AF19" s="33" t="b">
        <v>0</v>
      </c>
      <c r="AG19" s="33" t="b">
        <v>0</v>
      </c>
      <c r="AH19" s="33" t="b">
        <v>0</v>
      </c>
      <c r="AI19" s="24"/>
      <c r="AJ19" s="34">
        <f t="shared" si="1"/>
        <v>0</v>
      </c>
      <c r="AK19" s="35" t="str">
        <f t="shared" si="0"/>
        <v/>
      </c>
    </row>
    <row r="20" spans="2:37" x14ac:dyDescent="0.2">
      <c r="B20" s="24" t="s">
        <v>20</v>
      </c>
      <c r="C20" s="24"/>
      <c r="D20" s="33" t="b">
        <v>0</v>
      </c>
      <c r="E20" s="33" t="b">
        <v>0</v>
      </c>
      <c r="F20" s="33" t="b">
        <v>0</v>
      </c>
      <c r="G20" s="33" t="b">
        <v>0</v>
      </c>
      <c r="H20" s="33" t="b">
        <v>0</v>
      </c>
      <c r="I20" s="33" t="b">
        <v>0</v>
      </c>
      <c r="J20" s="33" t="b">
        <v>0</v>
      </c>
      <c r="K20" s="33" t="b">
        <v>0</v>
      </c>
      <c r="L20" s="33" t="b">
        <v>0</v>
      </c>
      <c r="M20" s="33" t="b">
        <v>0</v>
      </c>
      <c r="N20" s="33" t="b">
        <v>0</v>
      </c>
      <c r="O20" s="33" t="b">
        <v>0</v>
      </c>
      <c r="P20" s="33" t="b">
        <v>0</v>
      </c>
      <c r="Q20" s="33" t="b">
        <v>0</v>
      </c>
      <c r="R20" s="33" t="b">
        <v>0</v>
      </c>
      <c r="S20" s="33" t="b">
        <v>0</v>
      </c>
      <c r="T20" s="33" t="b">
        <v>0</v>
      </c>
      <c r="U20" s="33" t="b">
        <v>0</v>
      </c>
      <c r="V20" s="33" t="b">
        <v>0</v>
      </c>
      <c r="W20" s="33" t="b">
        <v>0</v>
      </c>
      <c r="X20" s="33" t="b">
        <v>0</v>
      </c>
      <c r="Y20" s="33" t="b">
        <v>0</v>
      </c>
      <c r="Z20" s="33" t="b">
        <v>0</v>
      </c>
      <c r="AA20" s="33" t="b">
        <v>0</v>
      </c>
      <c r="AB20" s="33" t="b">
        <v>0</v>
      </c>
      <c r="AC20" s="33" t="b">
        <v>0</v>
      </c>
      <c r="AD20" s="33" t="b">
        <v>0</v>
      </c>
      <c r="AE20" s="33" t="b">
        <v>0</v>
      </c>
      <c r="AF20" s="33" t="b">
        <v>0</v>
      </c>
      <c r="AG20" s="33" t="b">
        <v>0</v>
      </c>
      <c r="AH20" s="33" t="b">
        <v>0</v>
      </c>
      <c r="AI20" s="24"/>
      <c r="AJ20" s="34">
        <f t="shared" si="1"/>
        <v>0</v>
      </c>
      <c r="AK20" s="35" t="str">
        <f t="shared" si="0"/>
        <v/>
      </c>
    </row>
    <row r="21" spans="2:37" x14ac:dyDescent="0.2">
      <c r="B21" s="24" t="s">
        <v>22</v>
      </c>
      <c r="C21" s="24"/>
      <c r="D21" s="33" t="b">
        <v>0</v>
      </c>
      <c r="E21" s="33" t="b">
        <v>0</v>
      </c>
      <c r="F21" s="33" t="b">
        <v>0</v>
      </c>
      <c r="G21" s="33" t="b">
        <v>0</v>
      </c>
      <c r="H21" s="33" t="b">
        <v>0</v>
      </c>
      <c r="I21" s="33" t="b">
        <v>0</v>
      </c>
      <c r="J21" s="33" t="b">
        <v>0</v>
      </c>
      <c r="K21" s="33" t="b">
        <v>0</v>
      </c>
      <c r="L21" s="33" t="b">
        <v>0</v>
      </c>
      <c r="M21" s="33" t="b">
        <v>0</v>
      </c>
      <c r="N21" s="33" t="b">
        <v>0</v>
      </c>
      <c r="O21" s="33" t="b">
        <v>0</v>
      </c>
      <c r="P21" s="33" t="b">
        <v>0</v>
      </c>
      <c r="Q21" s="33" t="b">
        <v>0</v>
      </c>
      <c r="R21" s="33" t="b">
        <v>0</v>
      </c>
      <c r="S21" s="33" t="b">
        <v>0</v>
      </c>
      <c r="T21" s="33" t="b">
        <v>0</v>
      </c>
      <c r="U21" s="33" t="b">
        <v>0</v>
      </c>
      <c r="V21" s="33" t="b">
        <v>0</v>
      </c>
      <c r="W21" s="33" t="b">
        <v>0</v>
      </c>
      <c r="X21" s="33" t="b">
        <v>0</v>
      </c>
      <c r="Y21" s="33" t="b">
        <v>0</v>
      </c>
      <c r="Z21" s="33" t="b">
        <v>0</v>
      </c>
      <c r="AA21" s="33" t="b">
        <v>0</v>
      </c>
      <c r="AB21" s="33" t="b">
        <v>0</v>
      </c>
      <c r="AC21" s="33" t="b">
        <v>0</v>
      </c>
      <c r="AD21" s="33" t="b">
        <v>0</v>
      </c>
      <c r="AE21" s="33" t="b">
        <v>0</v>
      </c>
      <c r="AF21" s="33" t="b">
        <v>0</v>
      </c>
      <c r="AG21" s="33" t="b">
        <v>0</v>
      </c>
      <c r="AH21" s="33" t="b">
        <v>0</v>
      </c>
      <c r="AI21" s="24"/>
      <c r="AJ21" s="34">
        <f t="shared" si="1"/>
        <v>0</v>
      </c>
      <c r="AK21" s="35" t="str">
        <f t="shared" si="0"/>
        <v/>
      </c>
    </row>
    <row r="22" spans="2:37" x14ac:dyDescent="0.2">
      <c r="B22" s="24" t="s">
        <v>5</v>
      </c>
      <c r="C22" s="24"/>
      <c r="D22" s="33" t="b">
        <v>0</v>
      </c>
      <c r="E22" s="33" t="b">
        <v>0</v>
      </c>
      <c r="F22" s="33" t="b">
        <v>0</v>
      </c>
      <c r="G22" s="33" t="b">
        <v>0</v>
      </c>
      <c r="H22" s="33" t="b">
        <v>0</v>
      </c>
      <c r="I22" s="33" t="b">
        <v>0</v>
      </c>
      <c r="J22" s="33" t="b">
        <v>0</v>
      </c>
      <c r="K22" s="33" t="b">
        <v>0</v>
      </c>
      <c r="L22" s="33" t="b">
        <v>0</v>
      </c>
      <c r="M22" s="33" t="b">
        <v>0</v>
      </c>
      <c r="N22" s="33" t="b">
        <v>0</v>
      </c>
      <c r="O22" s="33" t="b">
        <v>0</v>
      </c>
      <c r="P22" s="33" t="b">
        <v>0</v>
      </c>
      <c r="Q22" s="33" t="b">
        <v>0</v>
      </c>
      <c r="R22" s="33" t="b">
        <v>0</v>
      </c>
      <c r="S22" s="33" t="b">
        <v>0</v>
      </c>
      <c r="T22" s="33" t="b">
        <v>0</v>
      </c>
      <c r="U22" s="33" t="b">
        <v>0</v>
      </c>
      <c r="V22" s="33" t="b">
        <v>0</v>
      </c>
      <c r="W22" s="33" t="b">
        <v>0</v>
      </c>
      <c r="X22" s="33" t="b">
        <v>0</v>
      </c>
      <c r="Y22" s="33" t="b">
        <v>0</v>
      </c>
      <c r="Z22" s="33" t="b">
        <v>0</v>
      </c>
      <c r="AA22" s="33" t="b">
        <v>0</v>
      </c>
      <c r="AB22" s="33" t="b">
        <v>0</v>
      </c>
      <c r="AC22" s="33" t="b">
        <v>0</v>
      </c>
      <c r="AD22" s="33" t="b">
        <v>0</v>
      </c>
      <c r="AE22" s="33" t="b">
        <v>0</v>
      </c>
      <c r="AF22" s="33" t="b">
        <v>0</v>
      </c>
      <c r="AG22" s="33" t="b">
        <v>0</v>
      </c>
      <c r="AH22" s="33" t="b">
        <v>0</v>
      </c>
      <c r="AI22" s="24"/>
      <c r="AJ22" s="34">
        <f t="shared" si="1"/>
        <v>0</v>
      </c>
      <c r="AK22" s="35" t="str">
        <f t="shared" si="0"/>
        <v/>
      </c>
    </row>
    <row r="23" spans="2:37" x14ac:dyDescent="0.2">
      <c r="B23" s="24" t="s">
        <v>23</v>
      </c>
      <c r="C23" s="24"/>
      <c r="D23" s="33" t="b">
        <v>0</v>
      </c>
      <c r="E23" s="33" t="b">
        <v>0</v>
      </c>
      <c r="F23" s="33" t="b">
        <v>0</v>
      </c>
      <c r="G23" s="33" t="b">
        <v>0</v>
      </c>
      <c r="H23" s="33" t="b">
        <v>0</v>
      </c>
      <c r="I23" s="33" t="b">
        <v>0</v>
      </c>
      <c r="J23" s="33" t="b">
        <v>0</v>
      </c>
      <c r="K23" s="33" t="b">
        <v>0</v>
      </c>
      <c r="L23" s="33" t="b">
        <v>0</v>
      </c>
      <c r="M23" s="33" t="b">
        <v>0</v>
      </c>
      <c r="N23" s="33" t="b">
        <v>0</v>
      </c>
      <c r="O23" s="33" t="b">
        <v>0</v>
      </c>
      <c r="P23" s="33" t="b">
        <v>0</v>
      </c>
      <c r="Q23" s="33" t="b">
        <v>0</v>
      </c>
      <c r="R23" s="33" t="b">
        <v>0</v>
      </c>
      <c r="S23" s="33" t="b">
        <v>0</v>
      </c>
      <c r="T23" s="33" t="b">
        <v>0</v>
      </c>
      <c r="U23" s="33" t="b">
        <v>0</v>
      </c>
      <c r="V23" s="33" t="b">
        <v>0</v>
      </c>
      <c r="W23" s="33" t="b">
        <v>0</v>
      </c>
      <c r="X23" s="33" t="b">
        <v>0</v>
      </c>
      <c r="Y23" s="33" t="b">
        <v>0</v>
      </c>
      <c r="Z23" s="33" t="b">
        <v>0</v>
      </c>
      <c r="AA23" s="33" t="b">
        <v>0</v>
      </c>
      <c r="AB23" s="33" t="b">
        <v>0</v>
      </c>
      <c r="AC23" s="33" t="b">
        <v>0</v>
      </c>
      <c r="AD23" s="33" t="b">
        <v>0</v>
      </c>
      <c r="AE23" s="33" t="b">
        <v>0</v>
      </c>
      <c r="AF23" s="33" t="b">
        <v>0</v>
      </c>
      <c r="AG23" s="33" t="b">
        <v>0</v>
      </c>
      <c r="AH23" s="33" t="b">
        <v>0</v>
      </c>
      <c r="AI23" s="24"/>
      <c r="AJ23" s="34">
        <f t="shared" si="1"/>
        <v>0</v>
      </c>
      <c r="AK23" s="35" t="str">
        <f t="shared" si="0"/>
        <v/>
      </c>
    </row>
    <row r="24" spans="2:37" x14ac:dyDescent="0.2">
      <c r="B24" s="24" t="s">
        <v>24</v>
      </c>
      <c r="C24" s="24"/>
      <c r="D24" s="33" t="b">
        <v>0</v>
      </c>
      <c r="E24" s="33" t="b">
        <v>0</v>
      </c>
      <c r="F24" s="33" t="b">
        <v>0</v>
      </c>
      <c r="G24" s="33" t="b">
        <v>0</v>
      </c>
      <c r="H24" s="33" t="b">
        <v>0</v>
      </c>
      <c r="I24" s="33" t="b">
        <v>0</v>
      </c>
      <c r="J24" s="33" t="b">
        <v>0</v>
      </c>
      <c r="K24" s="33" t="b">
        <v>0</v>
      </c>
      <c r="L24" s="33" t="b">
        <v>0</v>
      </c>
      <c r="M24" s="33" t="b">
        <v>0</v>
      </c>
      <c r="N24" s="33" t="b">
        <v>0</v>
      </c>
      <c r="O24" s="33" t="b">
        <v>0</v>
      </c>
      <c r="P24" s="33" t="b">
        <v>0</v>
      </c>
      <c r="Q24" s="33" t="b">
        <v>0</v>
      </c>
      <c r="R24" s="33" t="b">
        <v>0</v>
      </c>
      <c r="S24" s="33" t="b">
        <v>0</v>
      </c>
      <c r="T24" s="33" t="b">
        <v>0</v>
      </c>
      <c r="U24" s="33" t="b">
        <v>0</v>
      </c>
      <c r="V24" s="33" t="b">
        <v>0</v>
      </c>
      <c r="W24" s="33" t="b">
        <v>0</v>
      </c>
      <c r="X24" s="33" t="b">
        <v>0</v>
      </c>
      <c r="Y24" s="33" t="b">
        <v>0</v>
      </c>
      <c r="Z24" s="33" t="b">
        <v>0</v>
      </c>
      <c r="AA24" s="33" t="b">
        <v>0</v>
      </c>
      <c r="AB24" s="33" t="b">
        <v>0</v>
      </c>
      <c r="AC24" s="33" t="b">
        <v>0</v>
      </c>
      <c r="AD24" s="33" t="b">
        <v>0</v>
      </c>
      <c r="AE24" s="33" t="b">
        <v>0</v>
      </c>
      <c r="AF24" s="33" t="b">
        <v>0</v>
      </c>
      <c r="AG24" s="33" t="b">
        <v>0</v>
      </c>
      <c r="AH24" s="33" t="b">
        <v>0</v>
      </c>
      <c r="AI24" s="24"/>
      <c r="AJ24" s="34">
        <f t="shared" si="1"/>
        <v>0</v>
      </c>
      <c r="AK24" s="35" t="str">
        <f t="shared" si="0"/>
        <v/>
      </c>
    </row>
    <row r="25" spans="2:37" s="13" customFormat="1" x14ac:dyDescent="0.2"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3" t="s">
        <v>37</v>
      </c>
    </row>
    <row r="26" spans="2:37" s="10" customFormat="1" x14ac:dyDescent="0.2">
      <c r="B26" s="10" t="s">
        <v>6</v>
      </c>
      <c r="D26" s="11">
        <f t="shared" ref="D26:AH26" si="2">COUNTIF(D15:D24,"TRUE")</f>
        <v>0</v>
      </c>
      <c r="E26" s="11">
        <f t="shared" si="2"/>
        <v>0</v>
      </c>
      <c r="F26" s="11">
        <f t="shared" si="2"/>
        <v>0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0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1">
        <f t="shared" si="2"/>
        <v>0</v>
      </c>
      <c r="O26" s="11">
        <f t="shared" si="2"/>
        <v>0</v>
      </c>
      <c r="P26" s="11">
        <f t="shared" si="2"/>
        <v>0</v>
      </c>
      <c r="Q26" s="11">
        <f t="shared" si="2"/>
        <v>0</v>
      </c>
      <c r="R26" s="11">
        <f t="shared" si="2"/>
        <v>0</v>
      </c>
      <c r="S26" s="11">
        <f t="shared" si="2"/>
        <v>0</v>
      </c>
      <c r="T26" s="11">
        <f t="shared" si="2"/>
        <v>0</v>
      </c>
      <c r="U26" s="11">
        <f t="shared" si="2"/>
        <v>0</v>
      </c>
      <c r="V26" s="11">
        <f t="shared" si="2"/>
        <v>0</v>
      </c>
      <c r="W26" s="11">
        <f t="shared" si="2"/>
        <v>0</v>
      </c>
      <c r="X26" s="11">
        <f t="shared" si="2"/>
        <v>0</v>
      </c>
      <c r="Y26" s="11">
        <f t="shared" si="2"/>
        <v>0</v>
      </c>
      <c r="Z26" s="11">
        <f t="shared" si="2"/>
        <v>0</v>
      </c>
      <c r="AA26" s="11">
        <f t="shared" si="2"/>
        <v>0</v>
      </c>
      <c r="AB26" s="11">
        <f t="shared" si="2"/>
        <v>0</v>
      </c>
      <c r="AC26" s="11">
        <f t="shared" si="2"/>
        <v>0</v>
      </c>
      <c r="AD26" s="11">
        <f t="shared" si="2"/>
        <v>0</v>
      </c>
      <c r="AE26" s="11">
        <f t="shared" si="2"/>
        <v>0</v>
      </c>
      <c r="AF26" s="11">
        <f t="shared" si="2"/>
        <v>0</v>
      </c>
      <c r="AG26" s="11">
        <f t="shared" si="2"/>
        <v>0</v>
      </c>
      <c r="AH26" s="11">
        <f t="shared" si="2"/>
        <v>0</v>
      </c>
    </row>
    <row r="27" spans="2:37" s="10" customFormat="1" x14ac:dyDescent="0.2">
      <c r="B27" s="10" t="s">
        <v>7</v>
      </c>
      <c r="D27" s="12">
        <f t="shared" ref="D27:AH27" si="3">D26/COUNTA(D15:D24)</f>
        <v>0</v>
      </c>
      <c r="E27" s="12">
        <f t="shared" si="3"/>
        <v>0</v>
      </c>
      <c r="F27" s="12">
        <f t="shared" si="3"/>
        <v>0</v>
      </c>
      <c r="G27" s="12">
        <f t="shared" si="3"/>
        <v>0</v>
      </c>
      <c r="H27" s="12">
        <f t="shared" si="3"/>
        <v>0</v>
      </c>
      <c r="I27" s="12">
        <f t="shared" si="3"/>
        <v>0</v>
      </c>
      <c r="J27" s="12">
        <f t="shared" si="3"/>
        <v>0</v>
      </c>
      <c r="K27" s="12">
        <f t="shared" si="3"/>
        <v>0</v>
      </c>
      <c r="L27" s="12">
        <f t="shared" si="3"/>
        <v>0</v>
      </c>
      <c r="M27" s="12">
        <f t="shared" si="3"/>
        <v>0</v>
      </c>
      <c r="N27" s="12">
        <f t="shared" si="3"/>
        <v>0</v>
      </c>
      <c r="O27" s="12">
        <f t="shared" si="3"/>
        <v>0</v>
      </c>
      <c r="P27" s="12">
        <f t="shared" si="3"/>
        <v>0</v>
      </c>
      <c r="Q27" s="12">
        <f t="shared" si="3"/>
        <v>0</v>
      </c>
      <c r="R27" s="12">
        <f t="shared" si="3"/>
        <v>0</v>
      </c>
      <c r="S27" s="12">
        <f t="shared" si="3"/>
        <v>0</v>
      </c>
      <c r="T27" s="12">
        <f t="shared" si="3"/>
        <v>0</v>
      </c>
      <c r="U27" s="12">
        <f t="shared" si="3"/>
        <v>0</v>
      </c>
      <c r="V27" s="12">
        <f t="shared" si="3"/>
        <v>0</v>
      </c>
      <c r="W27" s="12">
        <f t="shared" si="3"/>
        <v>0</v>
      </c>
      <c r="X27" s="12">
        <f t="shared" si="3"/>
        <v>0</v>
      </c>
      <c r="Y27" s="12">
        <f t="shared" si="3"/>
        <v>0</v>
      </c>
      <c r="Z27" s="12">
        <f t="shared" si="3"/>
        <v>0</v>
      </c>
      <c r="AA27" s="12">
        <f t="shared" si="3"/>
        <v>0</v>
      </c>
      <c r="AB27" s="12">
        <f t="shared" si="3"/>
        <v>0</v>
      </c>
      <c r="AC27" s="12">
        <f t="shared" si="3"/>
        <v>0</v>
      </c>
      <c r="AD27" s="12">
        <f t="shared" si="3"/>
        <v>0</v>
      </c>
      <c r="AE27" s="12">
        <f t="shared" si="3"/>
        <v>0</v>
      </c>
      <c r="AF27" s="12">
        <f t="shared" si="3"/>
        <v>0</v>
      </c>
      <c r="AG27" s="12">
        <f t="shared" si="3"/>
        <v>0</v>
      </c>
      <c r="AH27" s="12">
        <f t="shared" si="3"/>
        <v>0</v>
      </c>
    </row>
    <row r="28" spans="2:37" s="13" customFormat="1" hidden="1" x14ac:dyDescent="0.2"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2:37" s="15" customFormat="1" hidden="1" x14ac:dyDescent="0.2"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 t="s">
        <v>8</v>
      </c>
      <c r="Y29" s="8"/>
    </row>
  </sheetData>
  <sheetProtection algorithmName="SHA-512" hashValue="XgdhtPVjNPEnUZ6rW+T0jcpcU08aor6tE38LXqxSgD8SOjAUReb8Wt6Vw7tkMnsxlgL0RCmnfkIh2Or3UK13OQ==" saltValue="5dqCHbp2ycIPIkEyb81+Kw==" spinCount="100000" sheet="1" objects="1" scenarios="1"/>
  <mergeCells count="8">
    <mergeCell ref="AJ12:AJ14"/>
    <mergeCell ref="AK12:AK14"/>
    <mergeCell ref="B12:B14"/>
    <mergeCell ref="D12:J12"/>
    <mergeCell ref="K12:Q12"/>
    <mergeCell ref="R12:X12"/>
    <mergeCell ref="Y12:AE12"/>
    <mergeCell ref="AF12:AH12"/>
  </mergeCells>
  <conditionalFormatting sqref="AC5:AC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{12DDAEF0-78C8-7043-A1A6-108818EAAE95}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DDAEF0-78C8-7043-A1A6-108818EAAE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AC5:AC7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061EA-C29C-5244-8B59-DF4C381D1CE4}">
  <dimension ref="A1:XFC29"/>
  <sheetViews>
    <sheetView topLeftCell="B1" workbookViewId="0">
      <selection activeCell="O18" sqref="O18"/>
    </sheetView>
  </sheetViews>
  <sheetFormatPr baseColWidth="10" defaultColWidth="0" defaultRowHeight="16" customHeight="1" zeroHeight="1" x14ac:dyDescent="0.2"/>
  <cols>
    <col min="1" max="1" width="11.1640625" hidden="1"/>
    <col min="2" max="2" width="31" style="43" customWidth="1"/>
    <col min="3" max="3" width="0.1640625" style="43" hidden="1"/>
    <col min="4" max="4" width="4.83203125" style="43" customWidth="1"/>
    <col min="5" max="5" width="3.6640625" style="44" customWidth="1"/>
    <col min="6" max="6" width="4.6640625" style="44" customWidth="1"/>
    <col min="7" max="7" width="4.1640625" style="44" customWidth="1"/>
    <col min="8" max="8" width="5.1640625" style="44" customWidth="1"/>
    <col min="9" max="9" width="5.5" style="44" customWidth="1"/>
    <col min="10" max="11" width="6.1640625" style="44" customWidth="1"/>
    <col min="12" max="12" width="6.33203125" style="44" customWidth="1"/>
    <col min="13" max="17" width="6.1640625" style="44" customWidth="1"/>
    <col min="18" max="18" width="5" style="44" customWidth="1"/>
    <col min="19" max="19" width="6.1640625" style="44" customWidth="1"/>
    <col min="20" max="20" width="6.5" style="44" customWidth="1"/>
    <col min="21" max="22" width="6.1640625" style="44" customWidth="1"/>
    <col min="23" max="24" width="5.83203125" style="44" customWidth="1"/>
    <col min="25" max="25" width="8" style="44" customWidth="1"/>
    <col min="26" max="26" width="5.83203125" style="43" customWidth="1"/>
    <col min="27" max="27" width="6.83203125" style="43" customWidth="1"/>
    <col min="28" max="28" width="5.6640625" style="43" customWidth="1"/>
    <col min="29" max="29" width="6" style="43" customWidth="1"/>
    <col min="30" max="30" width="7.33203125" style="43" customWidth="1"/>
    <col min="31" max="31" width="6.83203125" style="43" customWidth="1"/>
    <col min="32" max="32" width="7.1640625" style="43" customWidth="1"/>
    <col min="33" max="33" width="7.6640625" style="43" customWidth="1"/>
    <col min="34" max="34" width="8" style="43" hidden="1"/>
    <col min="35" max="35" width="11.33203125" style="43" hidden="1"/>
    <col min="36" max="36" width="16.33203125" style="43" customWidth="1"/>
    <col min="37" max="37" width="20.5" customWidth="1"/>
    <col min="38" max="16377" width="11.1640625" hidden="1"/>
    <col min="16378" max="16378" width="14" hidden="1"/>
    <col min="16379" max="16379" width="14.5" hidden="1"/>
    <col min="16380" max="16382" width="0.1640625" hidden="1"/>
    <col min="16383" max="16383" width="20" hidden="1"/>
    <col min="16384" max="16384" width="31.1640625" hidden="1"/>
  </cols>
  <sheetData>
    <row r="1" spans="2:37" x14ac:dyDescent="0.2"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2:37" x14ac:dyDescent="0.2">
      <c r="B2" s="9" t="s">
        <v>27</v>
      </c>
      <c r="C2" s="5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3"/>
      <c r="AA2" s="3"/>
      <c r="AB2" s="3"/>
      <c r="AC2" s="3"/>
      <c r="AD2" s="3"/>
      <c r="AE2" s="3"/>
      <c r="AF2" s="3"/>
      <c r="AG2" s="3"/>
      <c r="AH2" s="3"/>
      <c r="AI2" s="3"/>
      <c r="AJ2" s="4"/>
      <c r="AK2" s="36" t="s">
        <v>30</v>
      </c>
    </row>
    <row r="3" spans="2:37" x14ac:dyDescent="0.2">
      <c r="B3" s="6">
        <v>46023</v>
      </c>
      <c r="C3" s="6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4"/>
      <c r="AK3" s="7">
        <f>COUNTIF(D27:AG27,"100%")</f>
        <v>0</v>
      </c>
    </row>
    <row r="4" spans="2:37" x14ac:dyDescent="0.2">
      <c r="B4" s="40" t="s">
        <v>0</v>
      </c>
      <c r="C4" s="5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3"/>
      <c r="AA4" s="3"/>
      <c r="AB4" s="3"/>
      <c r="AC4" s="3"/>
      <c r="AD4" s="3"/>
      <c r="AE4" s="3"/>
      <c r="AF4" s="3"/>
      <c r="AG4" s="3"/>
      <c r="AH4" s="3"/>
      <c r="AI4" s="3"/>
      <c r="AJ4" s="4"/>
      <c r="AK4" s="37" t="s">
        <v>31</v>
      </c>
    </row>
    <row r="5" spans="2:37" x14ac:dyDescent="0.2">
      <c r="B5" s="4" t="str">
        <f>_xlfn.XLOOKUP(MAX(AJ15:AJ24),AJ15:AJ24,B15:B24)</f>
        <v>Daily Exercise</v>
      </c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3"/>
      <c r="AA5" s="3"/>
      <c r="AB5" s="3"/>
      <c r="AC5" s="3"/>
      <c r="AD5" s="3"/>
      <c r="AE5" s="3"/>
      <c r="AF5" s="3"/>
      <c r="AG5" s="3"/>
      <c r="AH5" s="3"/>
      <c r="AI5" s="3"/>
      <c r="AJ5" s="4"/>
      <c r="AK5" s="7">
        <f>COUNTIF(D27:AG27,"&gt;50%")</f>
        <v>0</v>
      </c>
    </row>
    <row r="6" spans="2:37" x14ac:dyDescent="0.2">
      <c r="B6" s="4" t="s">
        <v>22</v>
      </c>
      <c r="C6" s="4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3"/>
      <c r="AA6" s="3"/>
      <c r="AB6" s="3"/>
      <c r="AC6" s="3"/>
      <c r="AD6" s="3"/>
      <c r="AE6" s="3"/>
      <c r="AF6" s="3"/>
      <c r="AG6" s="3"/>
      <c r="AH6" s="3"/>
      <c r="AI6" s="3"/>
      <c r="AJ6" s="4"/>
      <c r="AK6" s="3"/>
    </row>
    <row r="7" spans="2:37" x14ac:dyDescent="0.2">
      <c r="B7" s="39" t="s">
        <v>1</v>
      </c>
      <c r="C7" s="5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4"/>
      <c r="AK7" s="38" t="s">
        <v>32</v>
      </c>
    </row>
    <row r="8" spans="2:37" x14ac:dyDescent="0.2">
      <c r="B8" s="4" t="s">
        <v>34</v>
      </c>
      <c r="C8" s="4"/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3"/>
      <c r="AA8" s="3"/>
      <c r="AB8" s="3"/>
      <c r="AC8" s="3"/>
      <c r="AD8" s="3"/>
      <c r="AE8" s="3"/>
      <c r="AF8" s="3"/>
      <c r="AG8" s="3"/>
      <c r="AH8" s="3"/>
      <c r="AI8" s="3"/>
      <c r="AJ8" s="4"/>
      <c r="AK8" s="7">
        <f>COUNTIF(D27:AG27,"0%")</f>
        <v>30</v>
      </c>
    </row>
    <row r="9" spans="2:37" x14ac:dyDescent="0.2">
      <c r="B9" s="4" t="s">
        <v>35</v>
      </c>
      <c r="C9" s="4"/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3"/>
      <c r="AA9" s="3"/>
      <c r="AB9" s="3"/>
      <c r="AC9" s="3"/>
      <c r="AD9" s="3"/>
      <c r="AE9" s="3"/>
      <c r="AF9" s="3"/>
      <c r="AG9" s="3"/>
      <c r="AH9" s="3"/>
      <c r="AI9" s="3"/>
      <c r="AJ9" s="4"/>
      <c r="AK9" s="7"/>
    </row>
    <row r="10" spans="2:37" x14ac:dyDescent="0.2">
      <c r="B10" s="4" t="s">
        <v>36</v>
      </c>
      <c r="C10" s="4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4"/>
      <c r="AK10" s="7"/>
    </row>
    <row r="11" spans="2:37" x14ac:dyDescent="0.2">
      <c r="B11" s="4"/>
      <c r="C11" s="4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4"/>
      <c r="AK11" s="7"/>
    </row>
    <row r="12" spans="2:37" ht="16" customHeight="1" x14ac:dyDescent="0.2">
      <c r="B12" s="45" t="s">
        <v>25</v>
      </c>
      <c r="C12" s="18"/>
      <c r="D12" s="53" t="s">
        <v>26</v>
      </c>
      <c r="E12" s="53"/>
      <c r="F12" s="53"/>
      <c r="G12" s="53"/>
      <c r="H12" s="53"/>
      <c r="I12" s="53"/>
      <c r="J12" s="53"/>
      <c r="K12" s="54" t="s">
        <v>2</v>
      </c>
      <c r="L12" s="54"/>
      <c r="M12" s="54"/>
      <c r="N12" s="54"/>
      <c r="O12" s="54"/>
      <c r="P12" s="54"/>
      <c r="Q12" s="54"/>
      <c r="R12" s="55" t="s">
        <v>3</v>
      </c>
      <c r="S12" s="55"/>
      <c r="T12" s="55"/>
      <c r="U12" s="55"/>
      <c r="V12" s="55"/>
      <c r="W12" s="55"/>
      <c r="X12" s="55"/>
      <c r="Y12" s="56" t="s">
        <v>9</v>
      </c>
      <c r="Z12" s="56"/>
      <c r="AA12" s="56"/>
      <c r="AB12" s="56"/>
      <c r="AC12" s="56"/>
      <c r="AD12" s="56"/>
      <c r="AE12" s="56"/>
      <c r="AF12" s="57" t="s">
        <v>17</v>
      </c>
      <c r="AG12" s="57"/>
      <c r="AH12" s="57"/>
      <c r="AI12" s="24"/>
      <c r="AJ12" s="47" t="s">
        <v>28</v>
      </c>
      <c r="AK12" s="50" t="s">
        <v>29</v>
      </c>
    </row>
    <row r="13" spans="2:37" s="2" customFormat="1" x14ac:dyDescent="0.2">
      <c r="B13" s="46"/>
      <c r="C13" s="18"/>
      <c r="D13" s="19" t="s">
        <v>11</v>
      </c>
      <c r="E13" s="19" t="s">
        <v>12</v>
      </c>
      <c r="F13" s="19" t="s">
        <v>13</v>
      </c>
      <c r="G13" s="19" t="s">
        <v>14</v>
      </c>
      <c r="H13" s="19" t="s">
        <v>15</v>
      </c>
      <c r="I13" s="19" t="s">
        <v>16</v>
      </c>
      <c r="J13" s="19" t="s">
        <v>10</v>
      </c>
      <c r="K13" s="28" t="s">
        <v>11</v>
      </c>
      <c r="L13" s="28" t="s">
        <v>12</v>
      </c>
      <c r="M13" s="28" t="s">
        <v>13</v>
      </c>
      <c r="N13" s="28" t="s">
        <v>14</v>
      </c>
      <c r="O13" s="28" t="s">
        <v>15</v>
      </c>
      <c r="P13" s="28" t="s">
        <v>16</v>
      </c>
      <c r="Q13" s="28" t="s">
        <v>10</v>
      </c>
      <c r="R13" s="29" t="s">
        <v>11</v>
      </c>
      <c r="S13" s="29" t="s">
        <v>12</v>
      </c>
      <c r="T13" s="29" t="s">
        <v>13</v>
      </c>
      <c r="U13" s="29" t="s">
        <v>14</v>
      </c>
      <c r="V13" s="29" t="s">
        <v>15</v>
      </c>
      <c r="W13" s="29" t="s">
        <v>16</v>
      </c>
      <c r="X13" s="29" t="s">
        <v>10</v>
      </c>
      <c r="Y13" s="30" t="s">
        <v>11</v>
      </c>
      <c r="Z13" s="30" t="s">
        <v>12</v>
      </c>
      <c r="AA13" s="30" t="s">
        <v>13</v>
      </c>
      <c r="AB13" s="30" t="s">
        <v>14</v>
      </c>
      <c r="AC13" s="30" t="s">
        <v>15</v>
      </c>
      <c r="AD13" s="30" t="s">
        <v>16</v>
      </c>
      <c r="AE13" s="30" t="s">
        <v>10</v>
      </c>
      <c r="AF13" s="31" t="s">
        <v>11</v>
      </c>
      <c r="AG13" s="32" t="s">
        <v>12</v>
      </c>
      <c r="AH13" s="25" t="s">
        <v>14</v>
      </c>
      <c r="AI13" s="26"/>
      <c r="AJ13" s="48"/>
      <c r="AK13" s="51"/>
    </row>
    <row r="14" spans="2:37" s="2" customFormat="1" x14ac:dyDescent="0.2">
      <c r="B14" s="46"/>
      <c r="C14" s="18"/>
      <c r="D14" s="27" cm="1">
        <f t="array" ref="D14:X14">_xlfn.SEQUENCE(,21)</f>
        <v>1</v>
      </c>
      <c r="E14" s="27">
        <v>2</v>
      </c>
      <c r="F14" s="27">
        <v>3</v>
      </c>
      <c r="G14" s="27">
        <v>4</v>
      </c>
      <c r="H14" s="27">
        <v>5</v>
      </c>
      <c r="I14" s="27">
        <v>6</v>
      </c>
      <c r="J14" s="27">
        <v>7</v>
      </c>
      <c r="K14" s="28">
        <v>8</v>
      </c>
      <c r="L14" s="28">
        <v>9</v>
      </c>
      <c r="M14" s="28">
        <v>10</v>
      </c>
      <c r="N14" s="28">
        <v>11</v>
      </c>
      <c r="O14" s="28">
        <v>12</v>
      </c>
      <c r="P14" s="28">
        <v>13</v>
      </c>
      <c r="Q14" s="28">
        <v>14</v>
      </c>
      <c r="R14" s="29">
        <v>15</v>
      </c>
      <c r="S14" s="29">
        <v>16</v>
      </c>
      <c r="T14" s="29">
        <v>17</v>
      </c>
      <c r="U14" s="29">
        <v>18</v>
      </c>
      <c r="V14" s="29">
        <v>19</v>
      </c>
      <c r="W14" s="29">
        <v>20</v>
      </c>
      <c r="X14" s="29">
        <v>21</v>
      </c>
      <c r="Y14" s="30">
        <v>22</v>
      </c>
      <c r="Z14" s="30">
        <v>23</v>
      </c>
      <c r="AA14" s="30">
        <v>24</v>
      </c>
      <c r="AB14" s="30">
        <v>25</v>
      </c>
      <c r="AC14" s="30">
        <v>26</v>
      </c>
      <c r="AD14" s="30">
        <v>27</v>
      </c>
      <c r="AE14" s="30">
        <v>28</v>
      </c>
      <c r="AF14" s="31">
        <v>29</v>
      </c>
      <c r="AG14" s="32">
        <v>30</v>
      </c>
      <c r="AH14" s="32">
        <v>31</v>
      </c>
      <c r="AI14" s="26"/>
      <c r="AJ14" s="49"/>
      <c r="AK14" s="52"/>
    </row>
    <row r="15" spans="2:37" x14ac:dyDescent="0.2">
      <c r="B15" s="24" t="s">
        <v>4</v>
      </c>
      <c r="C15" s="24"/>
      <c r="D15" s="33" t="b">
        <v>0</v>
      </c>
      <c r="E15" s="33" t="b">
        <v>0</v>
      </c>
      <c r="F15" s="33" t="b">
        <v>0</v>
      </c>
      <c r="G15" s="33" t="b">
        <v>0</v>
      </c>
      <c r="H15" s="33" t="b">
        <v>0</v>
      </c>
      <c r="I15" s="33" t="b">
        <v>0</v>
      </c>
      <c r="J15" s="33" t="b">
        <v>0</v>
      </c>
      <c r="K15" s="33" t="b">
        <v>0</v>
      </c>
      <c r="L15" s="33" t="b">
        <v>0</v>
      </c>
      <c r="M15" s="33" t="b">
        <v>0</v>
      </c>
      <c r="N15" s="33" t="b">
        <v>0</v>
      </c>
      <c r="O15" s="33" t="b">
        <v>0</v>
      </c>
      <c r="P15" s="33" t="b">
        <v>0</v>
      </c>
      <c r="Q15" s="33" t="b">
        <v>0</v>
      </c>
      <c r="R15" s="33" t="b">
        <v>0</v>
      </c>
      <c r="S15" s="33" t="b">
        <v>0</v>
      </c>
      <c r="T15" s="33" t="b">
        <v>0</v>
      </c>
      <c r="U15" s="33" t="b">
        <v>0</v>
      </c>
      <c r="V15" s="33" t="b">
        <v>0</v>
      </c>
      <c r="W15" s="33" t="b">
        <v>0</v>
      </c>
      <c r="X15" s="33" t="b">
        <v>0</v>
      </c>
      <c r="Y15" s="33" t="b">
        <v>0</v>
      </c>
      <c r="Z15" s="33" t="b">
        <v>0</v>
      </c>
      <c r="AA15" s="33" t="b">
        <v>0</v>
      </c>
      <c r="AB15" s="33" t="b">
        <v>0</v>
      </c>
      <c r="AC15" s="33" t="b">
        <v>0</v>
      </c>
      <c r="AD15" s="33" t="b">
        <v>0</v>
      </c>
      <c r="AE15" s="33" t="b">
        <v>0</v>
      </c>
      <c r="AF15" s="33" t="b">
        <v>0</v>
      </c>
      <c r="AG15" s="33" t="b">
        <v>0</v>
      </c>
      <c r="AH15" s="33" t="b">
        <v>0</v>
      </c>
      <c r="AI15" s="24"/>
      <c r="AJ15" s="34">
        <f t="shared" ref="AJ15:AJ24" si="0">COUNTIF(D15:AG15,"TRUE")</f>
        <v>0</v>
      </c>
      <c r="AK15" s="35" t="str">
        <f t="shared" ref="AK15:AK24" si="1">REPT("|",AJ15*4)</f>
        <v/>
      </c>
    </row>
    <row r="16" spans="2:37" x14ac:dyDescent="0.2">
      <c r="B16" s="24" t="s">
        <v>18</v>
      </c>
      <c r="C16" s="24"/>
      <c r="D16" s="33" t="b">
        <v>0</v>
      </c>
      <c r="E16" s="33" t="b">
        <v>0</v>
      </c>
      <c r="F16" s="33" t="b">
        <v>0</v>
      </c>
      <c r="G16" s="33" t="b">
        <v>0</v>
      </c>
      <c r="H16" s="33" t="b">
        <v>0</v>
      </c>
      <c r="I16" s="33" t="b">
        <v>0</v>
      </c>
      <c r="J16" s="33" t="b">
        <v>0</v>
      </c>
      <c r="K16" s="33" t="b">
        <v>0</v>
      </c>
      <c r="L16" s="33" t="b">
        <v>0</v>
      </c>
      <c r="M16" s="33" t="b">
        <v>0</v>
      </c>
      <c r="N16" s="33" t="b">
        <v>0</v>
      </c>
      <c r="O16" s="33" t="b">
        <v>0</v>
      </c>
      <c r="P16" s="33" t="b">
        <v>0</v>
      </c>
      <c r="Q16" s="33" t="b">
        <v>0</v>
      </c>
      <c r="R16" s="33" t="b">
        <v>0</v>
      </c>
      <c r="S16" s="33" t="b">
        <v>0</v>
      </c>
      <c r="T16" s="33" t="b">
        <v>0</v>
      </c>
      <c r="U16" s="33" t="b">
        <v>0</v>
      </c>
      <c r="V16" s="33" t="b">
        <v>0</v>
      </c>
      <c r="W16" s="33" t="b">
        <v>0</v>
      </c>
      <c r="X16" s="33" t="b">
        <v>0</v>
      </c>
      <c r="Y16" s="33" t="b">
        <v>0</v>
      </c>
      <c r="Z16" s="33" t="b">
        <v>0</v>
      </c>
      <c r="AA16" s="33" t="b">
        <v>0</v>
      </c>
      <c r="AB16" s="33" t="b">
        <v>0</v>
      </c>
      <c r="AC16" s="33" t="b">
        <v>0</v>
      </c>
      <c r="AD16" s="33" t="b">
        <v>0</v>
      </c>
      <c r="AE16" s="33" t="b">
        <v>0</v>
      </c>
      <c r="AF16" s="33" t="b">
        <v>0</v>
      </c>
      <c r="AG16" s="33" t="b">
        <v>0</v>
      </c>
      <c r="AH16" s="33" t="b">
        <v>0</v>
      </c>
      <c r="AI16" s="24"/>
      <c r="AJ16" s="34">
        <f t="shared" si="0"/>
        <v>0</v>
      </c>
      <c r="AK16" s="35" t="str">
        <f t="shared" si="1"/>
        <v/>
      </c>
    </row>
    <row r="17" spans="2:37" x14ac:dyDescent="0.2">
      <c r="B17" s="24" t="s">
        <v>19</v>
      </c>
      <c r="C17" s="24"/>
      <c r="D17" s="33" t="b">
        <v>0</v>
      </c>
      <c r="E17" s="33" t="b">
        <v>0</v>
      </c>
      <c r="F17" s="33" t="b">
        <v>0</v>
      </c>
      <c r="G17" s="33" t="b">
        <v>0</v>
      </c>
      <c r="H17" s="33" t="b">
        <v>0</v>
      </c>
      <c r="I17" s="33" t="b">
        <v>0</v>
      </c>
      <c r="J17" s="33" t="b">
        <v>0</v>
      </c>
      <c r="K17" s="33" t="b">
        <v>0</v>
      </c>
      <c r="L17" s="33" t="b">
        <v>0</v>
      </c>
      <c r="M17" s="33" t="b">
        <v>0</v>
      </c>
      <c r="N17" s="33" t="b">
        <v>0</v>
      </c>
      <c r="O17" s="33" t="b">
        <v>0</v>
      </c>
      <c r="P17" s="33" t="b">
        <v>0</v>
      </c>
      <c r="Q17" s="33" t="b">
        <v>0</v>
      </c>
      <c r="R17" s="33" t="b">
        <v>0</v>
      </c>
      <c r="S17" s="33" t="b">
        <v>0</v>
      </c>
      <c r="T17" s="33" t="b">
        <v>0</v>
      </c>
      <c r="U17" s="33" t="b">
        <v>0</v>
      </c>
      <c r="V17" s="33" t="b">
        <v>0</v>
      </c>
      <c r="W17" s="33" t="b">
        <v>0</v>
      </c>
      <c r="X17" s="33" t="b">
        <v>0</v>
      </c>
      <c r="Y17" s="33" t="b">
        <v>0</v>
      </c>
      <c r="Z17" s="33" t="b">
        <v>0</v>
      </c>
      <c r="AA17" s="33" t="b">
        <v>0</v>
      </c>
      <c r="AB17" s="33" t="b">
        <v>0</v>
      </c>
      <c r="AC17" s="33" t="b">
        <v>0</v>
      </c>
      <c r="AD17" s="33" t="b">
        <v>0</v>
      </c>
      <c r="AE17" s="33" t="b">
        <v>0</v>
      </c>
      <c r="AF17" s="33" t="b">
        <v>0</v>
      </c>
      <c r="AG17" s="33" t="b">
        <v>0</v>
      </c>
      <c r="AH17" s="33" t="b">
        <v>0</v>
      </c>
      <c r="AI17" s="24"/>
      <c r="AJ17" s="34">
        <f t="shared" si="0"/>
        <v>0</v>
      </c>
      <c r="AK17" s="35" t="str">
        <f t="shared" si="1"/>
        <v/>
      </c>
    </row>
    <row r="18" spans="2:37" x14ac:dyDescent="0.2">
      <c r="B18" s="24" t="s">
        <v>33</v>
      </c>
      <c r="C18" s="24"/>
      <c r="D18" s="33" t="b">
        <v>0</v>
      </c>
      <c r="E18" s="33" t="b">
        <v>0</v>
      </c>
      <c r="F18" s="33" t="b">
        <v>0</v>
      </c>
      <c r="G18" s="33" t="b">
        <v>0</v>
      </c>
      <c r="H18" s="33" t="b">
        <v>0</v>
      </c>
      <c r="I18" s="33" t="b">
        <v>0</v>
      </c>
      <c r="J18" s="33" t="b">
        <v>0</v>
      </c>
      <c r="K18" s="33" t="b">
        <v>0</v>
      </c>
      <c r="L18" s="33" t="b">
        <v>0</v>
      </c>
      <c r="M18" s="33" t="b">
        <v>0</v>
      </c>
      <c r="N18" s="33" t="b">
        <v>0</v>
      </c>
      <c r="O18" s="33" t="b">
        <v>0</v>
      </c>
      <c r="P18" s="33" t="b">
        <v>0</v>
      </c>
      <c r="Q18" s="33" t="b">
        <v>0</v>
      </c>
      <c r="R18" s="33" t="b">
        <v>0</v>
      </c>
      <c r="S18" s="33" t="b">
        <v>0</v>
      </c>
      <c r="T18" s="33" t="b">
        <v>0</v>
      </c>
      <c r="U18" s="33" t="b">
        <v>0</v>
      </c>
      <c r="V18" s="33" t="b">
        <v>0</v>
      </c>
      <c r="W18" s="33" t="b">
        <v>0</v>
      </c>
      <c r="X18" s="33" t="b">
        <v>0</v>
      </c>
      <c r="Y18" s="33" t="b">
        <v>0</v>
      </c>
      <c r="Z18" s="33" t="b">
        <v>0</v>
      </c>
      <c r="AA18" s="33" t="b">
        <v>0</v>
      </c>
      <c r="AB18" s="33" t="b">
        <v>0</v>
      </c>
      <c r="AC18" s="33" t="b">
        <v>0</v>
      </c>
      <c r="AD18" s="33" t="b">
        <v>0</v>
      </c>
      <c r="AE18" s="33" t="b">
        <v>0</v>
      </c>
      <c r="AF18" s="33" t="b">
        <v>0</v>
      </c>
      <c r="AG18" s="33" t="b">
        <v>0</v>
      </c>
      <c r="AH18" s="33" t="b">
        <v>0</v>
      </c>
      <c r="AI18" s="24"/>
      <c r="AJ18" s="34">
        <f t="shared" si="0"/>
        <v>0</v>
      </c>
      <c r="AK18" s="35" t="str">
        <f t="shared" si="1"/>
        <v/>
      </c>
    </row>
    <row r="19" spans="2:37" x14ac:dyDescent="0.2">
      <c r="B19" s="24" t="s">
        <v>21</v>
      </c>
      <c r="C19" s="24"/>
      <c r="D19" s="33" t="b">
        <v>0</v>
      </c>
      <c r="E19" s="33" t="b">
        <v>0</v>
      </c>
      <c r="F19" s="33" t="b">
        <v>0</v>
      </c>
      <c r="G19" s="33" t="b">
        <v>0</v>
      </c>
      <c r="H19" s="33" t="b">
        <v>0</v>
      </c>
      <c r="I19" s="33" t="b">
        <v>0</v>
      </c>
      <c r="J19" s="33" t="b">
        <v>0</v>
      </c>
      <c r="K19" s="33" t="b">
        <v>0</v>
      </c>
      <c r="L19" s="33" t="b">
        <v>0</v>
      </c>
      <c r="M19" s="33" t="b">
        <v>0</v>
      </c>
      <c r="N19" s="33" t="b">
        <v>0</v>
      </c>
      <c r="O19" s="33" t="b">
        <v>0</v>
      </c>
      <c r="P19" s="33" t="b">
        <v>0</v>
      </c>
      <c r="Q19" s="33" t="b">
        <v>0</v>
      </c>
      <c r="R19" s="33" t="b">
        <v>0</v>
      </c>
      <c r="S19" s="33" t="b">
        <v>0</v>
      </c>
      <c r="T19" s="33" t="b">
        <v>0</v>
      </c>
      <c r="U19" s="33" t="b">
        <v>0</v>
      </c>
      <c r="V19" s="33" t="b">
        <v>0</v>
      </c>
      <c r="W19" s="33" t="b">
        <v>0</v>
      </c>
      <c r="X19" s="33" t="b">
        <v>0</v>
      </c>
      <c r="Y19" s="33" t="b">
        <v>0</v>
      </c>
      <c r="Z19" s="33" t="b">
        <v>0</v>
      </c>
      <c r="AA19" s="33" t="b">
        <v>0</v>
      </c>
      <c r="AB19" s="33" t="b">
        <v>0</v>
      </c>
      <c r="AC19" s="33" t="b">
        <v>0</v>
      </c>
      <c r="AD19" s="33" t="b">
        <v>0</v>
      </c>
      <c r="AE19" s="33" t="b">
        <v>0</v>
      </c>
      <c r="AF19" s="33" t="b">
        <v>0</v>
      </c>
      <c r="AG19" s="33" t="b">
        <v>0</v>
      </c>
      <c r="AH19" s="33" t="b">
        <v>0</v>
      </c>
      <c r="AI19" s="24"/>
      <c r="AJ19" s="34">
        <f t="shared" si="0"/>
        <v>0</v>
      </c>
      <c r="AK19" s="35" t="str">
        <f t="shared" si="1"/>
        <v/>
      </c>
    </row>
    <row r="20" spans="2:37" x14ac:dyDescent="0.2">
      <c r="B20" s="24" t="s">
        <v>20</v>
      </c>
      <c r="C20" s="24"/>
      <c r="D20" s="33" t="b">
        <v>0</v>
      </c>
      <c r="E20" s="33" t="b">
        <v>0</v>
      </c>
      <c r="F20" s="33" t="b">
        <v>0</v>
      </c>
      <c r="G20" s="33" t="b">
        <v>0</v>
      </c>
      <c r="H20" s="33" t="b">
        <v>0</v>
      </c>
      <c r="I20" s="33" t="b">
        <v>0</v>
      </c>
      <c r="J20" s="33" t="b">
        <v>0</v>
      </c>
      <c r="K20" s="33" t="b">
        <v>0</v>
      </c>
      <c r="L20" s="33" t="b">
        <v>0</v>
      </c>
      <c r="M20" s="33" t="b">
        <v>0</v>
      </c>
      <c r="N20" s="33" t="b">
        <v>0</v>
      </c>
      <c r="O20" s="33" t="b">
        <v>0</v>
      </c>
      <c r="P20" s="33" t="b">
        <v>0</v>
      </c>
      <c r="Q20" s="33" t="b">
        <v>0</v>
      </c>
      <c r="R20" s="33" t="b">
        <v>0</v>
      </c>
      <c r="S20" s="33" t="b">
        <v>0</v>
      </c>
      <c r="T20" s="33" t="b">
        <v>0</v>
      </c>
      <c r="U20" s="33" t="b">
        <v>0</v>
      </c>
      <c r="V20" s="33" t="b">
        <v>0</v>
      </c>
      <c r="W20" s="33" t="b">
        <v>0</v>
      </c>
      <c r="X20" s="33" t="b">
        <v>0</v>
      </c>
      <c r="Y20" s="33" t="b">
        <v>0</v>
      </c>
      <c r="Z20" s="33" t="b">
        <v>0</v>
      </c>
      <c r="AA20" s="33" t="b">
        <v>0</v>
      </c>
      <c r="AB20" s="33" t="b">
        <v>0</v>
      </c>
      <c r="AC20" s="33" t="b">
        <v>0</v>
      </c>
      <c r="AD20" s="33" t="b">
        <v>0</v>
      </c>
      <c r="AE20" s="33" t="b">
        <v>0</v>
      </c>
      <c r="AF20" s="33" t="b">
        <v>0</v>
      </c>
      <c r="AG20" s="33" t="b">
        <v>0</v>
      </c>
      <c r="AH20" s="33" t="b">
        <v>0</v>
      </c>
      <c r="AI20" s="24"/>
      <c r="AJ20" s="34">
        <f t="shared" si="0"/>
        <v>0</v>
      </c>
      <c r="AK20" s="35" t="str">
        <f t="shared" si="1"/>
        <v/>
      </c>
    </row>
    <row r="21" spans="2:37" x14ac:dyDescent="0.2">
      <c r="B21" s="24" t="s">
        <v>22</v>
      </c>
      <c r="C21" s="24"/>
      <c r="D21" s="33" t="b">
        <v>0</v>
      </c>
      <c r="E21" s="33" t="b">
        <v>0</v>
      </c>
      <c r="F21" s="33" t="b">
        <v>0</v>
      </c>
      <c r="G21" s="33" t="b">
        <v>0</v>
      </c>
      <c r="H21" s="33" t="b">
        <v>0</v>
      </c>
      <c r="I21" s="33" t="b">
        <v>0</v>
      </c>
      <c r="J21" s="33" t="b">
        <v>0</v>
      </c>
      <c r="K21" s="33" t="b">
        <v>0</v>
      </c>
      <c r="L21" s="33" t="b">
        <v>0</v>
      </c>
      <c r="M21" s="33" t="b">
        <v>0</v>
      </c>
      <c r="N21" s="33" t="b">
        <v>0</v>
      </c>
      <c r="O21" s="33" t="b">
        <v>0</v>
      </c>
      <c r="P21" s="33" t="b">
        <v>0</v>
      </c>
      <c r="Q21" s="33" t="b">
        <v>0</v>
      </c>
      <c r="R21" s="33" t="b">
        <v>0</v>
      </c>
      <c r="S21" s="33" t="b">
        <v>0</v>
      </c>
      <c r="T21" s="33" t="b">
        <v>0</v>
      </c>
      <c r="U21" s="33" t="b">
        <v>0</v>
      </c>
      <c r="V21" s="33" t="b">
        <v>0</v>
      </c>
      <c r="W21" s="33" t="b">
        <v>0</v>
      </c>
      <c r="X21" s="33" t="b">
        <v>0</v>
      </c>
      <c r="Y21" s="33" t="b">
        <v>0</v>
      </c>
      <c r="Z21" s="33" t="b">
        <v>0</v>
      </c>
      <c r="AA21" s="33" t="b">
        <v>0</v>
      </c>
      <c r="AB21" s="33" t="b">
        <v>0</v>
      </c>
      <c r="AC21" s="33" t="b">
        <v>0</v>
      </c>
      <c r="AD21" s="33" t="b">
        <v>0</v>
      </c>
      <c r="AE21" s="33" t="b">
        <v>0</v>
      </c>
      <c r="AF21" s="33" t="b">
        <v>0</v>
      </c>
      <c r="AG21" s="33" t="b">
        <v>0</v>
      </c>
      <c r="AH21" s="33" t="b">
        <v>0</v>
      </c>
      <c r="AI21" s="24"/>
      <c r="AJ21" s="34">
        <f t="shared" si="0"/>
        <v>0</v>
      </c>
      <c r="AK21" s="35" t="str">
        <f t="shared" si="1"/>
        <v/>
      </c>
    </row>
    <row r="22" spans="2:37" x14ac:dyDescent="0.2">
      <c r="B22" s="24" t="s">
        <v>5</v>
      </c>
      <c r="C22" s="24"/>
      <c r="D22" s="33" t="b">
        <v>0</v>
      </c>
      <c r="E22" s="33" t="b">
        <v>0</v>
      </c>
      <c r="F22" s="33" t="b">
        <v>0</v>
      </c>
      <c r="G22" s="33" t="b">
        <v>0</v>
      </c>
      <c r="H22" s="33" t="b">
        <v>0</v>
      </c>
      <c r="I22" s="33" t="b">
        <v>0</v>
      </c>
      <c r="J22" s="33" t="b">
        <v>0</v>
      </c>
      <c r="K22" s="33" t="b">
        <v>0</v>
      </c>
      <c r="L22" s="33" t="b">
        <v>0</v>
      </c>
      <c r="M22" s="33" t="b">
        <v>0</v>
      </c>
      <c r="N22" s="33" t="b">
        <v>0</v>
      </c>
      <c r="O22" s="33" t="b">
        <v>0</v>
      </c>
      <c r="P22" s="33" t="b">
        <v>0</v>
      </c>
      <c r="Q22" s="33" t="b">
        <v>0</v>
      </c>
      <c r="R22" s="33" t="b">
        <v>0</v>
      </c>
      <c r="S22" s="33" t="b">
        <v>0</v>
      </c>
      <c r="T22" s="33" t="b">
        <v>0</v>
      </c>
      <c r="U22" s="33" t="b">
        <v>0</v>
      </c>
      <c r="V22" s="33" t="b">
        <v>0</v>
      </c>
      <c r="W22" s="33" t="b">
        <v>0</v>
      </c>
      <c r="X22" s="33" t="b">
        <v>0</v>
      </c>
      <c r="Y22" s="33" t="b">
        <v>0</v>
      </c>
      <c r="Z22" s="33" t="b">
        <v>0</v>
      </c>
      <c r="AA22" s="33" t="b">
        <v>0</v>
      </c>
      <c r="AB22" s="33" t="b">
        <v>0</v>
      </c>
      <c r="AC22" s="33" t="b">
        <v>0</v>
      </c>
      <c r="AD22" s="33" t="b">
        <v>0</v>
      </c>
      <c r="AE22" s="33" t="b">
        <v>0</v>
      </c>
      <c r="AF22" s="33" t="b">
        <v>0</v>
      </c>
      <c r="AG22" s="33" t="b">
        <v>0</v>
      </c>
      <c r="AH22" s="33" t="b">
        <v>0</v>
      </c>
      <c r="AI22" s="24"/>
      <c r="AJ22" s="34">
        <f t="shared" si="0"/>
        <v>0</v>
      </c>
      <c r="AK22" s="35" t="str">
        <f t="shared" si="1"/>
        <v/>
      </c>
    </row>
    <row r="23" spans="2:37" x14ac:dyDescent="0.2">
      <c r="B23" s="24" t="s">
        <v>23</v>
      </c>
      <c r="C23" s="24"/>
      <c r="D23" s="33" t="b">
        <v>0</v>
      </c>
      <c r="E23" s="33" t="b">
        <v>0</v>
      </c>
      <c r="F23" s="33" t="b">
        <v>0</v>
      </c>
      <c r="G23" s="33" t="b">
        <v>0</v>
      </c>
      <c r="H23" s="33" t="b">
        <v>0</v>
      </c>
      <c r="I23" s="33" t="b">
        <v>0</v>
      </c>
      <c r="J23" s="33" t="b">
        <v>0</v>
      </c>
      <c r="K23" s="33" t="b">
        <v>0</v>
      </c>
      <c r="L23" s="33" t="b">
        <v>0</v>
      </c>
      <c r="M23" s="33" t="b">
        <v>0</v>
      </c>
      <c r="N23" s="33" t="b">
        <v>0</v>
      </c>
      <c r="O23" s="33" t="b">
        <v>0</v>
      </c>
      <c r="P23" s="33" t="b">
        <v>0</v>
      </c>
      <c r="Q23" s="33" t="b">
        <v>0</v>
      </c>
      <c r="R23" s="33" t="b">
        <v>0</v>
      </c>
      <c r="S23" s="33" t="b">
        <v>0</v>
      </c>
      <c r="T23" s="33" t="b">
        <v>0</v>
      </c>
      <c r="U23" s="33" t="b">
        <v>0</v>
      </c>
      <c r="V23" s="33" t="b">
        <v>0</v>
      </c>
      <c r="W23" s="33" t="b">
        <v>0</v>
      </c>
      <c r="X23" s="33" t="b">
        <v>0</v>
      </c>
      <c r="Y23" s="33" t="b">
        <v>0</v>
      </c>
      <c r="Z23" s="33" t="b">
        <v>0</v>
      </c>
      <c r="AA23" s="33" t="b">
        <v>0</v>
      </c>
      <c r="AB23" s="33" t="b">
        <v>0</v>
      </c>
      <c r="AC23" s="33" t="b">
        <v>0</v>
      </c>
      <c r="AD23" s="33" t="b">
        <v>0</v>
      </c>
      <c r="AE23" s="33" t="b">
        <v>0</v>
      </c>
      <c r="AF23" s="33" t="b">
        <v>0</v>
      </c>
      <c r="AG23" s="33" t="b">
        <v>0</v>
      </c>
      <c r="AH23" s="33" t="b">
        <v>0</v>
      </c>
      <c r="AI23" s="24"/>
      <c r="AJ23" s="34">
        <f t="shared" si="0"/>
        <v>0</v>
      </c>
      <c r="AK23" s="35" t="str">
        <f t="shared" si="1"/>
        <v/>
      </c>
    </row>
    <row r="24" spans="2:37" x14ac:dyDescent="0.2">
      <c r="B24" s="24" t="s">
        <v>24</v>
      </c>
      <c r="C24" s="24"/>
      <c r="D24" s="33" t="b">
        <v>0</v>
      </c>
      <c r="E24" s="33" t="b">
        <v>0</v>
      </c>
      <c r="F24" s="33" t="b">
        <v>0</v>
      </c>
      <c r="G24" s="33" t="b">
        <v>0</v>
      </c>
      <c r="H24" s="33" t="b">
        <v>0</v>
      </c>
      <c r="I24" s="33" t="b">
        <v>0</v>
      </c>
      <c r="J24" s="33" t="b">
        <v>0</v>
      </c>
      <c r="K24" s="33" t="b">
        <v>0</v>
      </c>
      <c r="L24" s="33" t="b">
        <v>0</v>
      </c>
      <c r="M24" s="33" t="b">
        <v>0</v>
      </c>
      <c r="N24" s="33" t="b">
        <v>0</v>
      </c>
      <c r="O24" s="33" t="b">
        <v>0</v>
      </c>
      <c r="P24" s="33" t="b">
        <v>0</v>
      </c>
      <c r="Q24" s="33" t="b">
        <v>0</v>
      </c>
      <c r="R24" s="33" t="b">
        <v>0</v>
      </c>
      <c r="S24" s="33" t="b">
        <v>0</v>
      </c>
      <c r="T24" s="33" t="b">
        <v>0</v>
      </c>
      <c r="U24" s="33" t="b">
        <v>0</v>
      </c>
      <c r="V24" s="33" t="b">
        <v>0</v>
      </c>
      <c r="W24" s="33" t="b">
        <v>0</v>
      </c>
      <c r="X24" s="33" t="b">
        <v>0</v>
      </c>
      <c r="Y24" s="33" t="b">
        <v>0</v>
      </c>
      <c r="Z24" s="33" t="b">
        <v>0</v>
      </c>
      <c r="AA24" s="33" t="b">
        <v>0</v>
      </c>
      <c r="AB24" s="33" t="b">
        <v>0</v>
      </c>
      <c r="AC24" s="33" t="b">
        <v>0</v>
      </c>
      <c r="AD24" s="33" t="b">
        <v>0</v>
      </c>
      <c r="AE24" s="33" t="b">
        <v>0</v>
      </c>
      <c r="AF24" s="33" t="b">
        <v>0</v>
      </c>
      <c r="AG24" s="33" t="b">
        <v>0</v>
      </c>
      <c r="AH24" s="33" t="b">
        <v>0</v>
      </c>
      <c r="AI24" s="24"/>
      <c r="AJ24" s="34">
        <f t="shared" si="0"/>
        <v>0</v>
      </c>
      <c r="AK24" s="35" t="str">
        <f t="shared" si="1"/>
        <v/>
      </c>
    </row>
    <row r="25" spans="2:37" s="13" customFormat="1" x14ac:dyDescent="0.2"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3" t="s">
        <v>37</v>
      </c>
    </row>
    <row r="26" spans="2:37" s="10" customFormat="1" x14ac:dyDescent="0.2">
      <c r="B26" s="10" t="s">
        <v>6</v>
      </c>
      <c r="D26" s="11">
        <f t="shared" ref="D26:AH26" si="2">COUNTIF(D15:D24,"TRUE")</f>
        <v>0</v>
      </c>
      <c r="E26" s="11">
        <f t="shared" si="2"/>
        <v>0</v>
      </c>
      <c r="F26" s="11">
        <f t="shared" si="2"/>
        <v>0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0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1">
        <f t="shared" si="2"/>
        <v>0</v>
      </c>
      <c r="O26" s="11">
        <f t="shared" si="2"/>
        <v>0</v>
      </c>
      <c r="P26" s="11">
        <f t="shared" si="2"/>
        <v>0</v>
      </c>
      <c r="Q26" s="11">
        <f t="shared" si="2"/>
        <v>0</v>
      </c>
      <c r="R26" s="11">
        <f t="shared" si="2"/>
        <v>0</v>
      </c>
      <c r="S26" s="11">
        <f t="shared" si="2"/>
        <v>0</v>
      </c>
      <c r="T26" s="11">
        <f t="shared" si="2"/>
        <v>0</v>
      </c>
      <c r="U26" s="11">
        <f t="shared" si="2"/>
        <v>0</v>
      </c>
      <c r="V26" s="11">
        <f t="shared" si="2"/>
        <v>0</v>
      </c>
      <c r="W26" s="11">
        <f t="shared" si="2"/>
        <v>0</v>
      </c>
      <c r="X26" s="11">
        <f t="shared" si="2"/>
        <v>0</v>
      </c>
      <c r="Y26" s="11">
        <f t="shared" si="2"/>
        <v>0</v>
      </c>
      <c r="Z26" s="11">
        <f t="shared" si="2"/>
        <v>0</v>
      </c>
      <c r="AA26" s="11">
        <f t="shared" si="2"/>
        <v>0</v>
      </c>
      <c r="AB26" s="11">
        <f t="shared" si="2"/>
        <v>0</v>
      </c>
      <c r="AC26" s="11">
        <f t="shared" si="2"/>
        <v>0</v>
      </c>
      <c r="AD26" s="11">
        <f t="shared" si="2"/>
        <v>0</v>
      </c>
      <c r="AE26" s="11">
        <f t="shared" si="2"/>
        <v>0</v>
      </c>
      <c r="AF26" s="11">
        <f t="shared" si="2"/>
        <v>0</v>
      </c>
      <c r="AG26" s="11">
        <f t="shared" si="2"/>
        <v>0</v>
      </c>
      <c r="AH26" s="11">
        <f t="shared" si="2"/>
        <v>0</v>
      </c>
    </row>
    <row r="27" spans="2:37" s="10" customFormat="1" x14ac:dyDescent="0.2">
      <c r="B27" s="10" t="s">
        <v>7</v>
      </c>
      <c r="D27" s="12">
        <f t="shared" ref="D27:AH27" si="3">D26/COUNTA(D15:D24)</f>
        <v>0</v>
      </c>
      <c r="E27" s="12">
        <f t="shared" si="3"/>
        <v>0</v>
      </c>
      <c r="F27" s="12">
        <f t="shared" si="3"/>
        <v>0</v>
      </c>
      <c r="G27" s="12">
        <f t="shared" si="3"/>
        <v>0</v>
      </c>
      <c r="H27" s="12">
        <f t="shared" si="3"/>
        <v>0</v>
      </c>
      <c r="I27" s="12">
        <f t="shared" si="3"/>
        <v>0</v>
      </c>
      <c r="J27" s="12">
        <f t="shared" si="3"/>
        <v>0</v>
      </c>
      <c r="K27" s="12">
        <f t="shared" si="3"/>
        <v>0</v>
      </c>
      <c r="L27" s="12">
        <f t="shared" si="3"/>
        <v>0</v>
      </c>
      <c r="M27" s="12">
        <f t="shared" si="3"/>
        <v>0</v>
      </c>
      <c r="N27" s="12">
        <f t="shared" si="3"/>
        <v>0</v>
      </c>
      <c r="O27" s="12">
        <f t="shared" si="3"/>
        <v>0</v>
      </c>
      <c r="P27" s="12">
        <f t="shared" si="3"/>
        <v>0</v>
      </c>
      <c r="Q27" s="12">
        <f t="shared" si="3"/>
        <v>0</v>
      </c>
      <c r="R27" s="12">
        <f t="shared" si="3"/>
        <v>0</v>
      </c>
      <c r="S27" s="12">
        <f t="shared" si="3"/>
        <v>0</v>
      </c>
      <c r="T27" s="12">
        <f t="shared" si="3"/>
        <v>0</v>
      </c>
      <c r="U27" s="12">
        <f t="shared" si="3"/>
        <v>0</v>
      </c>
      <c r="V27" s="12">
        <f t="shared" si="3"/>
        <v>0</v>
      </c>
      <c r="W27" s="12">
        <f t="shared" si="3"/>
        <v>0</v>
      </c>
      <c r="X27" s="12">
        <f t="shared" si="3"/>
        <v>0</v>
      </c>
      <c r="Y27" s="12">
        <f t="shared" si="3"/>
        <v>0</v>
      </c>
      <c r="Z27" s="12">
        <f t="shared" si="3"/>
        <v>0</v>
      </c>
      <c r="AA27" s="12">
        <f t="shared" si="3"/>
        <v>0</v>
      </c>
      <c r="AB27" s="12">
        <f t="shared" si="3"/>
        <v>0</v>
      </c>
      <c r="AC27" s="12">
        <f t="shared" si="3"/>
        <v>0</v>
      </c>
      <c r="AD27" s="12">
        <f t="shared" si="3"/>
        <v>0</v>
      </c>
      <c r="AE27" s="12">
        <f t="shared" si="3"/>
        <v>0</v>
      </c>
      <c r="AF27" s="12">
        <f t="shared" si="3"/>
        <v>0</v>
      </c>
      <c r="AG27" s="12">
        <f t="shared" si="3"/>
        <v>0</v>
      </c>
      <c r="AH27" s="12">
        <f t="shared" si="3"/>
        <v>0</v>
      </c>
    </row>
    <row r="28" spans="2:37" s="13" customFormat="1" hidden="1" x14ac:dyDescent="0.2">
      <c r="B28" s="41"/>
      <c r="C28" s="41"/>
      <c r="D28" s="41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</row>
    <row r="29" spans="2:37" s="15" customFormat="1" hidden="1" x14ac:dyDescent="0.2">
      <c r="B29" s="43"/>
      <c r="C29" s="43"/>
      <c r="D29" s="43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 t="s">
        <v>8</v>
      </c>
      <c r="Y29" s="44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</row>
  </sheetData>
  <sheetProtection algorithmName="SHA-512" hashValue="mOWN1Dwzd8hXBSeYLu6LADVW8FIZkXGk0gd/dMjC2/JpfMYBKPrdjsvJqQMNQZMH8bXg8qJhLGjaWoR988ARpA==" saltValue="UBcsbadzHb0xHQzWB7TLzA==" spinCount="100000" sheet="1" objects="1" scenarios="1"/>
  <mergeCells count="8">
    <mergeCell ref="AJ12:AJ14"/>
    <mergeCell ref="AK12:AK14"/>
    <mergeCell ref="B12:B14"/>
    <mergeCell ref="D12:J12"/>
    <mergeCell ref="K12:Q12"/>
    <mergeCell ref="R12:X12"/>
    <mergeCell ref="Y12:AE12"/>
    <mergeCell ref="AF12:AH12"/>
  </mergeCells>
  <conditionalFormatting sqref="AC5:AC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{7A9CE234-A64B-E945-9677-6AF6A82CA0ED}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9CE234-A64B-E945-9677-6AF6A82CA0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AC5:AC7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CFF49-8634-8C4B-8782-AEF7B3746759}">
  <dimension ref="A1:XFC29"/>
  <sheetViews>
    <sheetView topLeftCell="B1" workbookViewId="0">
      <selection activeCell="Q16" sqref="Q16"/>
    </sheetView>
  </sheetViews>
  <sheetFormatPr baseColWidth="10" defaultColWidth="0" defaultRowHeight="16" customHeight="1" zeroHeight="1" x14ac:dyDescent="0.2"/>
  <cols>
    <col min="1" max="1" width="11.1640625" hidden="1"/>
    <col min="2" max="2" width="31" customWidth="1"/>
    <col min="3" max="3" width="0.1640625" hidden="1"/>
    <col min="4" max="4" width="4.83203125" customWidth="1"/>
    <col min="5" max="5" width="3.6640625" style="1" customWidth="1"/>
    <col min="6" max="6" width="4.6640625" style="1" customWidth="1"/>
    <col min="7" max="7" width="4.1640625" style="1" customWidth="1"/>
    <col min="8" max="8" width="5.1640625" style="1" customWidth="1"/>
    <col min="9" max="9" width="5.5" style="1" customWidth="1"/>
    <col min="10" max="11" width="6.1640625" style="1" customWidth="1"/>
    <col min="12" max="12" width="6.33203125" style="1" customWidth="1"/>
    <col min="13" max="17" width="6.1640625" style="1" customWidth="1"/>
    <col min="18" max="18" width="5" style="1" customWidth="1"/>
    <col min="19" max="19" width="6.1640625" style="1" customWidth="1"/>
    <col min="20" max="20" width="6.5" style="1" customWidth="1"/>
    <col min="21" max="22" width="6.1640625" style="1" customWidth="1"/>
    <col min="23" max="24" width="5.83203125" style="1" customWidth="1"/>
    <col min="25" max="25" width="8" style="1" customWidth="1"/>
    <col min="26" max="26" width="5.83203125" customWidth="1"/>
    <col min="27" max="27" width="6.83203125" customWidth="1"/>
    <col min="28" max="28" width="5.6640625" customWidth="1"/>
    <col min="29" max="29" width="6" customWidth="1"/>
    <col min="30" max="30" width="7.33203125" customWidth="1"/>
    <col min="31" max="31" width="6.83203125" customWidth="1"/>
    <col min="32" max="32" width="7.1640625" customWidth="1"/>
    <col min="33" max="33" width="7.6640625" customWidth="1"/>
    <col min="34" max="34" width="8" customWidth="1"/>
    <col min="35" max="35" width="11.33203125" hidden="1"/>
    <col min="36" max="36" width="16.33203125" customWidth="1"/>
    <col min="37" max="37" width="20.5" customWidth="1"/>
    <col min="38" max="16377" width="11.1640625" hidden="1"/>
    <col min="16378" max="16378" width="14" hidden="1"/>
    <col min="16379" max="16379" width="14.5" hidden="1"/>
    <col min="16380" max="16382" width="0.1640625" hidden="1"/>
    <col min="16383" max="16383" width="20" hidden="1"/>
    <col min="16384" max="16384" width="31.1640625" hidden="1"/>
  </cols>
  <sheetData>
    <row r="1" spans="2:37" x14ac:dyDescent="0.2"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2:37" x14ac:dyDescent="0.2">
      <c r="B2" s="9" t="s">
        <v>27</v>
      </c>
      <c r="C2" s="5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3"/>
      <c r="AA2" s="3"/>
      <c r="AB2" s="3"/>
      <c r="AC2" s="3"/>
      <c r="AD2" s="3"/>
      <c r="AE2" s="3"/>
      <c r="AF2" s="3"/>
      <c r="AG2" s="3"/>
      <c r="AH2" s="3"/>
      <c r="AI2" s="3"/>
      <c r="AJ2" s="4"/>
      <c r="AK2" s="36" t="s">
        <v>30</v>
      </c>
    </row>
    <row r="3" spans="2:37" x14ac:dyDescent="0.2">
      <c r="B3" s="6">
        <v>46023</v>
      </c>
      <c r="C3" s="6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4"/>
      <c r="AK3" s="7">
        <f>COUNTIF(D27:AH27,"100%")</f>
        <v>0</v>
      </c>
    </row>
    <row r="4" spans="2:37" x14ac:dyDescent="0.2">
      <c r="B4" s="40" t="s">
        <v>0</v>
      </c>
      <c r="C4" s="5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3"/>
      <c r="AA4" s="3"/>
      <c r="AB4" s="3"/>
      <c r="AC4" s="3"/>
      <c r="AD4" s="3"/>
      <c r="AE4" s="3"/>
      <c r="AF4" s="3"/>
      <c r="AG4" s="3"/>
      <c r="AH4" s="3"/>
      <c r="AI4" s="3"/>
      <c r="AJ4" s="4"/>
      <c r="AK4" s="37" t="s">
        <v>31</v>
      </c>
    </row>
    <row r="5" spans="2:37" x14ac:dyDescent="0.2">
      <c r="B5" s="4" t="str">
        <f>_xlfn.XLOOKUP(MAX(AJ15:AJ24),AJ15:AJ24,B15:B24)</f>
        <v>Daily Exercise</v>
      </c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3"/>
      <c r="AA5" s="3"/>
      <c r="AB5" s="3"/>
      <c r="AC5" s="3"/>
      <c r="AD5" s="3"/>
      <c r="AE5" s="3"/>
      <c r="AF5" s="3"/>
      <c r="AG5" s="3"/>
      <c r="AH5" s="3"/>
      <c r="AI5" s="3"/>
      <c r="AJ5" s="4"/>
      <c r="AK5" s="7">
        <f>COUNTIF(D27:AH27,"&gt;50%")</f>
        <v>0</v>
      </c>
    </row>
    <row r="6" spans="2:37" x14ac:dyDescent="0.2">
      <c r="B6" s="4" t="s">
        <v>22</v>
      </c>
      <c r="C6" s="4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3"/>
      <c r="AA6" s="3"/>
      <c r="AB6" s="3"/>
      <c r="AC6" s="3"/>
      <c r="AD6" s="3"/>
      <c r="AE6" s="3"/>
      <c r="AF6" s="3"/>
      <c r="AG6" s="3"/>
      <c r="AH6" s="3"/>
      <c r="AI6" s="3"/>
      <c r="AJ6" s="4"/>
      <c r="AK6" s="3"/>
    </row>
    <row r="7" spans="2:37" x14ac:dyDescent="0.2">
      <c r="B7" s="39" t="s">
        <v>1</v>
      </c>
      <c r="C7" s="5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4"/>
      <c r="AK7" s="38" t="s">
        <v>32</v>
      </c>
    </row>
    <row r="8" spans="2:37" x14ac:dyDescent="0.2">
      <c r="B8" s="4" t="s">
        <v>34</v>
      </c>
      <c r="C8" s="4"/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3"/>
      <c r="AA8" s="3"/>
      <c r="AB8" s="3"/>
      <c r="AC8" s="3"/>
      <c r="AD8" s="3"/>
      <c r="AE8" s="3"/>
      <c r="AF8" s="3"/>
      <c r="AG8" s="3"/>
      <c r="AH8" s="3"/>
      <c r="AI8" s="3"/>
      <c r="AJ8" s="4"/>
      <c r="AK8" s="7">
        <f>COUNTIF(D27:AH27,"0%")</f>
        <v>31</v>
      </c>
    </row>
    <row r="9" spans="2:37" x14ac:dyDescent="0.2">
      <c r="B9" s="4" t="s">
        <v>35</v>
      </c>
      <c r="C9" s="4"/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3"/>
      <c r="AA9" s="3"/>
      <c r="AB9" s="3"/>
      <c r="AC9" s="3"/>
      <c r="AD9" s="3"/>
      <c r="AE9" s="3"/>
      <c r="AF9" s="3"/>
      <c r="AG9" s="3"/>
      <c r="AH9" s="3"/>
      <c r="AI9" s="3"/>
      <c r="AJ9" s="4"/>
      <c r="AK9" s="7"/>
    </row>
    <row r="10" spans="2:37" x14ac:dyDescent="0.2">
      <c r="B10" s="4" t="s">
        <v>36</v>
      </c>
      <c r="C10" s="4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4"/>
      <c r="AK10" s="7"/>
    </row>
    <row r="11" spans="2:37" x14ac:dyDescent="0.2">
      <c r="B11" s="4"/>
      <c r="C11" s="4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4"/>
      <c r="AK11" s="7"/>
    </row>
    <row r="12" spans="2:37" ht="16" customHeight="1" x14ac:dyDescent="0.2">
      <c r="B12" s="45" t="s">
        <v>25</v>
      </c>
      <c r="C12" s="18"/>
      <c r="D12" s="53" t="s">
        <v>26</v>
      </c>
      <c r="E12" s="53"/>
      <c r="F12" s="53"/>
      <c r="G12" s="53"/>
      <c r="H12" s="53"/>
      <c r="I12" s="53"/>
      <c r="J12" s="53"/>
      <c r="K12" s="54" t="s">
        <v>2</v>
      </c>
      <c r="L12" s="54"/>
      <c r="M12" s="54"/>
      <c r="N12" s="54"/>
      <c r="O12" s="54"/>
      <c r="P12" s="54"/>
      <c r="Q12" s="54"/>
      <c r="R12" s="55" t="s">
        <v>3</v>
      </c>
      <c r="S12" s="55"/>
      <c r="T12" s="55"/>
      <c r="U12" s="55"/>
      <c r="V12" s="55"/>
      <c r="W12" s="55"/>
      <c r="X12" s="55"/>
      <c r="Y12" s="56" t="s">
        <v>9</v>
      </c>
      <c r="Z12" s="56"/>
      <c r="AA12" s="56"/>
      <c r="AB12" s="56"/>
      <c r="AC12" s="56"/>
      <c r="AD12" s="56"/>
      <c r="AE12" s="56"/>
      <c r="AF12" s="57" t="s">
        <v>17</v>
      </c>
      <c r="AG12" s="57"/>
      <c r="AH12" s="57"/>
      <c r="AI12" s="24"/>
      <c r="AJ12" s="47" t="s">
        <v>28</v>
      </c>
      <c r="AK12" s="50" t="s">
        <v>29</v>
      </c>
    </row>
    <row r="13" spans="2:37" s="2" customFormat="1" x14ac:dyDescent="0.2">
      <c r="B13" s="46"/>
      <c r="C13" s="18"/>
      <c r="D13" s="19" t="s">
        <v>13</v>
      </c>
      <c r="E13" s="19" t="s">
        <v>14</v>
      </c>
      <c r="F13" s="19" t="s">
        <v>15</v>
      </c>
      <c r="G13" s="19" t="s">
        <v>16</v>
      </c>
      <c r="H13" s="19" t="s">
        <v>10</v>
      </c>
      <c r="I13" s="19" t="s">
        <v>11</v>
      </c>
      <c r="J13" s="19" t="s">
        <v>12</v>
      </c>
      <c r="K13" s="28" t="s">
        <v>13</v>
      </c>
      <c r="L13" s="28" t="s">
        <v>14</v>
      </c>
      <c r="M13" s="28" t="s">
        <v>15</v>
      </c>
      <c r="N13" s="28" t="s">
        <v>16</v>
      </c>
      <c r="O13" s="28" t="s">
        <v>10</v>
      </c>
      <c r="P13" s="28" t="s">
        <v>11</v>
      </c>
      <c r="Q13" s="28" t="s">
        <v>12</v>
      </c>
      <c r="R13" s="29" t="s">
        <v>13</v>
      </c>
      <c r="S13" s="29" t="s">
        <v>14</v>
      </c>
      <c r="T13" s="29" t="s">
        <v>15</v>
      </c>
      <c r="U13" s="29" t="s">
        <v>16</v>
      </c>
      <c r="V13" s="29" t="s">
        <v>10</v>
      </c>
      <c r="W13" s="29" t="s">
        <v>11</v>
      </c>
      <c r="X13" s="29" t="s">
        <v>12</v>
      </c>
      <c r="Y13" s="30" t="s">
        <v>13</v>
      </c>
      <c r="Z13" s="30" t="s">
        <v>14</v>
      </c>
      <c r="AA13" s="30" t="s">
        <v>15</v>
      </c>
      <c r="AB13" s="30" t="s">
        <v>16</v>
      </c>
      <c r="AC13" s="30" t="s">
        <v>10</v>
      </c>
      <c r="AD13" s="30" t="s">
        <v>11</v>
      </c>
      <c r="AE13" s="30" t="s">
        <v>12</v>
      </c>
      <c r="AF13" s="31" t="s">
        <v>13</v>
      </c>
      <c r="AG13" s="31" t="s">
        <v>14</v>
      </c>
      <c r="AH13" s="31" t="s">
        <v>15</v>
      </c>
      <c r="AI13" s="26"/>
      <c r="AJ13" s="48"/>
      <c r="AK13" s="51"/>
    </row>
    <row r="14" spans="2:37" s="2" customFormat="1" x14ac:dyDescent="0.2">
      <c r="B14" s="46"/>
      <c r="C14" s="18"/>
      <c r="D14" s="27" cm="1">
        <f t="array" ref="D14:X14">_xlfn.SEQUENCE(,21)</f>
        <v>1</v>
      </c>
      <c r="E14" s="27">
        <v>2</v>
      </c>
      <c r="F14" s="27">
        <v>3</v>
      </c>
      <c r="G14" s="27">
        <v>4</v>
      </c>
      <c r="H14" s="27">
        <v>5</v>
      </c>
      <c r="I14" s="27">
        <v>6</v>
      </c>
      <c r="J14" s="27">
        <v>7</v>
      </c>
      <c r="K14" s="28">
        <v>8</v>
      </c>
      <c r="L14" s="28">
        <v>9</v>
      </c>
      <c r="M14" s="28">
        <v>10</v>
      </c>
      <c r="N14" s="28">
        <v>11</v>
      </c>
      <c r="O14" s="28">
        <v>12</v>
      </c>
      <c r="P14" s="28">
        <v>13</v>
      </c>
      <c r="Q14" s="28">
        <v>14</v>
      </c>
      <c r="R14" s="29">
        <v>15</v>
      </c>
      <c r="S14" s="29">
        <v>16</v>
      </c>
      <c r="T14" s="29">
        <v>17</v>
      </c>
      <c r="U14" s="29">
        <v>18</v>
      </c>
      <c r="V14" s="29">
        <v>19</v>
      </c>
      <c r="W14" s="29">
        <v>20</v>
      </c>
      <c r="X14" s="29">
        <v>21</v>
      </c>
      <c r="Y14" s="30">
        <v>22</v>
      </c>
      <c r="Z14" s="30">
        <v>23</v>
      </c>
      <c r="AA14" s="30">
        <v>24</v>
      </c>
      <c r="AB14" s="30">
        <v>25</v>
      </c>
      <c r="AC14" s="30">
        <v>26</v>
      </c>
      <c r="AD14" s="30">
        <v>27</v>
      </c>
      <c r="AE14" s="30">
        <v>28</v>
      </c>
      <c r="AF14" s="31">
        <v>29</v>
      </c>
      <c r="AG14" s="32">
        <v>30</v>
      </c>
      <c r="AH14" s="32">
        <v>31</v>
      </c>
      <c r="AI14" s="26"/>
      <c r="AJ14" s="49"/>
      <c r="AK14" s="52"/>
    </row>
    <row r="15" spans="2:37" x14ac:dyDescent="0.2">
      <c r="B15" s="24" t="s">
        <v>4</v>
      </c>
      <c r="C15" s="24"/>
      <c r="D15" s="33" t="b">
        <v>0</v>
      </c>
      <c r="E15" s="33" t="b">
        <v>0</v>
      </c>
      <c r="F15" s="33" t="b">
        <v>0</v>
      </c>
      <c r="G15" s="33" t="b">
        <v>0</v>
      </c>
      <c r="H15" s="33" t="b">
        <v>0</v>
      </c>
      <c r="I15" s="33" t="b">
        <v>0</v>
      </c>
      <c r="J15" s="33" t="b">
        <v>0</v>
      </c>
      <c r="K15" s="33" t="b">
        <v>0</v>
      </c>
      <c r="L15" s="33" t="b">
        <v>0</v>
      </c>
      <c r="M15" s="33" t="b">
        <v>0</v>
      </c>
      <c r="N15" s="33" t="b">
        <v>0</v>
      </c>
      <c r="O15" s="33" t="b">
        <v>0</v>
      </c>
      <c r="P15" s="33" t="b">
        <v>0</v>
      </c>
      <c r="Q15" s="33" t="b">
        <v>0</v>
      </c>
      <c r="R15" s="33" t="b">
        <v>0</v>
      </c>
      <c r="S15" s="33" t="b">
        <v>0</v>
      </c>
      <c r="T15" s="33" t="b">
        <v>0</v>
      </c>
      <c r="U15" s="33" t="b">
        <v>0</v>
      </c>
      <c r="V15" s="33" t="b">
        <v>0</v>
      </c>
      <c r="W15" s="33" t="b">
        <v>0</v>
      </c>
      <c r="X15" s="33" t="b">
        <v>0</v>
      </c>
      <c r="Y15" s="33" t="b">
        <v>0</v>
      </c>
      <c r="Z15" s="33" t="b">
        <v>0</v>
      </c>
      <c r="AA15" s="33" t="b">
        <v>0</v>
      </c>
      <c r="AB15" s="33" t="b">
        <v>0</v>
      </c>
      <c r="AC15" s="33" t="b">
        <v>0</v>
      </c>
      <c r="AD15" s="33" t="b">
        <v>0</v>
      </c>
      <c r="AE15" s="33" t="b">
        <v>0</v>
      </c>
      <c r="AF15" s="33" t="b">
        <v>0</v>
      </c>
      <c r="AG15" s="33" t="b">
        <v>0</v>
      </c>
      <c r="AH15" s="33" t="b">
        <v>0</v>
      </c>
      <c r="AI15" s="24"/>
      <c r="AJ15" s="34">
        <f>COUNTIF(D15:AH15,"TRUE")</f>
        <v>0</v>
      </c>
      <c r="AK15" s="35" t="str">
        <f t="shared" ref="AK15:AK24" si="0">REPT("|",AJ15*4)</f>
        <v/>
      </c>
    </row>
    <row r="16" spans="2:37" x14ac:dyDescent="0.2">
      <c r="B16" s="24" t="s">
        <v>18</v>
      </c>
      <c r="C16" s="24"/>
      <c r="D16" s="33" t="b">
        <v>0</v>
      </c>
      <c r="E16" s="33" t="b">
        <v>0</v>
      </c>
      <c r="F16" s="33" t="b">
        <v>0</v>
      </c>
      <c r="G16" s="33" t="b">
        <v>0</v>
      </c>
      <c r="H16" s="33" t="b">
        <v>0</v>
      </c>
      <c r="I16" s="33" t="b">
        <v>0</v>
      </c>
      <c r="J16" s="33" t="b">
        <v>0</v>
      </c>
      <c r="K16" s="33" t="b">
        <v>0</v>
      </c>
      <c r="L16" s="33" t="b">
        <v>0</v>
      </c>
      <c r="M16" s="33" t="b">
        <v>0</v>
      </c>
      <c r="N16" s="33" t="b">
        <v>0</v>
      </c>
      <c r="O16" s="33" t="b">
        <v>0</v>
      </c>
      <c r="P16" s="33" t="b">
        <v>0</v>
      </c>
      <c r="Q16" s="33" t="b">
        <v>0</v>
      </c>
      <c r="R16" s="33" t="b">
        <v>0</v>
      </c>
      <c r="S16" s="33" t="b">
        <v>0</v>
      </c>
      <c r="T16" s="33" t="b">
        <v>0</v>
      </c>
      <c r="U16" s="33" t="b">
        <v>0</v>
      </c>
      <c r="V16" s="33" t="b">
        <v>0</v>
      </c>
      <c r="W16" s="33" t="b">
        <v>0</v>
      </c>
      <c r="X16" s="33" t="b">
        <v>0</v>
      </c>
      <c r="Y16" s="33" t="b">
        <v>0</v>
      </c>
      <c r="Z16" s="33" t="b">
        <v>0</v>
      </c>
      <c r="AA16" s="33" t="b">
        <v>0</v>
      </c>
      <c r="AB16" s="33" t="b">
        <v>0</v>
      </c>
      <c r="AC16" s="33" t="b">
        <v>0</v>
      </c>
      <c r="AD16" s="33" t="b">
        <v>0</v>
      </c>
      <c r="AE16" s="33" t="b">
        <v>0</v>
      </c>
      <c r="AF16" s="33" t="b">
        <v>0</v>
      </c>
      <c r="AG16" s="33" t="b">
        <v>0</v>
      </c>
      <c r="AH16" s="33" t="b">
        <v>0</v>
      </c>
      <c r="AI16" s="24"/>
      <c r="AJ16" s="34">
        <f t="shared" ref="AJ16:AJ24" si="1">COUNTIF(D16:AH16,"TRUE")</f>
        <v>0</v>
      </c>
      <c r="AK16" s="35" t="str">
        <f t="shared" si="0"/>
        <v/>
      </c>
    </row>
    <row r="17" spans="2:37" x14ac:dyDescent="0.2">
      <c r="B17" s="24" t="s">
        <v>19</v>
      </c>
      <c r="C17" s="24"/>
      <c r="D17" s="33" t="b">
        <v>0</v>
      </c>
      <c r="E17" s="33" t="b">
        <v>0</v>
      </c>
      <c r="F17" s="33" t="b">
        <v>0</v>
      </c>
      <c r="G17" s="33" t="b">
        <v>0</v>
      </c>
      <c r="H17" s="33" t="b">
        <v>0</v>
      </c>
      <c r="I17" s="33" t="b">
        <v>0</v>
      </c>
      <c r="J17" s="33" t="b">
        <v>0</v>
      </c>
      <c r="K17" s="33" t="b">
        <v>0</v>
      </c>
      <c r="L17" s="33" t="b">
        <v>0</v>
      </c>
      <c r="M17" s="33" t="b">
        <v>0</v>
      </c>
      <c r="N17" s="33" t="b">
        <v>0</v>
      </c>
      <c r="O17" s="33" t="b">
        <v>0</v>
      </c>
      <c r="P17" s="33" t="b">
        <v>0</v>
      </c>
      <c r="Q17" s="33" t="b">
        <v>0</v>
      </c>
      <c r="R17" s="33" t="b">
        <v>0</v>
      </c>
      <c r="S17" s="33" t="b">
        <v>0</v>
      </c>
      <c r="T17" s="33" t="b">
        <v>0</v>
      </c>
      <c r="U17" s="33" t="b">
        <v>0</v>
      </c>
      <c r="V17" s="33" t="b">
        <v>0</v>
      </c>
      <c r="W17" s="33" t="b">
        <v>0</v>
      </c>
      <c r="X17" s="33" t="b">
        <v>0</v>
      </c>
      <c r="Y17" s="33" t="b">
        <v>0</v>
      </c>
      <c r="Z17" s="33" t="b">
        <v>0</v>
      </c>
      <c r="AA17" s="33" t="b">
        <v>0</v>
      </c>
      <c r="AB17" s="33" t="b">
        <v>0</v>
      </c>
      <c r="AC17" s="33" t="b">
        <v>0</v>
      </c>
      <c r="AD17" s="33" t="b">
        <v>0</v>
      </c>
      <c r="AE17" s="33" t="b">
        <v>0</v>
      </c>
      <c r="AF17" s="33" t="b">
        <v>0</v>
      </c>
      <c r="AG17" s="33" t="b">
        <v>0</v>
      </c>
      <c r="AH17" s="33" t="b">
        <v>0</v>
      </c>
      <c r="AI17" s="24"/>
      <c r="AJ17" s="34">
        <f t="shared" si="1"/>
        <v>0</v>
      </c>
      <c r="AK17" s="35" t="str">
        <f t="shared" si="0"/>
        <v/>
      </c>
    </row>
    <row r="18" spans="2:37" x14ac:dyDescent="0.2">
      <c r="B18" s="24" t="s">
        <v>33</v>
      </c>
      <c r="C18" s="24"/>
      <c r="D18" s="33" t="b">
        <v>0</v>
      </c>
      <c r="E18" s="33" t="b">
        <v>0</v>
      </c>
      <c r="F18" s="33" t="b">
        <v>0</v>
      </c>
      <c r="G18" s="33" t="b">
        <v>0</v>
      </c>
      <c r="H18" s="33" t="b">
        <v>0</v>
      </c>
      <c r="I18" s="33" t="b">
        <v>0</v>
      </c>
      <c r="J18" s="33" t="b">
        <v>0</v>
      </c>
      <c r="K18" s="33" t="b">
        <v>0</v>
      </c>
      <c r="L18" s="33" t="b">
        <v>0</v>
      </c>
      <c r="M18" s="33" t="b">
        <v>0</v>
      </c>
      <c r="N18" s="33" t="b">
        <v>0</v>
      </c>
      <c r="O18" s="33" t="b">
        <v>0</v>
      </c>
      <c r="P18" s="33" t="b">
        <v>0</v>
      </c>
      <c r="Q18" s="33" t="b">
        <v>0</v>
      </c>
      <c r="R18" s="33" t="b">
        <v>0</v>
      </c>
      <c r="S18" s="33" t="b">
        <v>0</v>
      </c>
      <c r="T18" s="33" t="b">
        <v>0</v>
      </c>
      <c r="U18" s="33" t="b">
        <v>0</v>
      </c>
      <c r="V18" s="33" t="b">
        <v>0</v>
      </c>
      <c r="W18" s="33" t="b">
        <v>0</v>
      </c>
      <c r="X18" s="33" t="b">
        <v>0</v>
      </c>
      <c r="Y18" s="33" t="b">
        <v>0</v>
      </c>
      <c r="Z18" s="33" t="b">
        <v>0</v>
      </c>
      <c r="AA18" s="33" t="b">
        <v>0</v>
      </c>
      <c r="AB18" s="33" t="b">
        <v>0</v>
      </c>
      <c r="AC18" s="33" t="b">
        <v>0</v>
      </c>
      <c r="AD18" s="33" t="b">
        <v>0</v>
      </c>
      <c r="AE18" s="33" t="b">
        <v>0</v>
      </c>
      <c r="AF18" s="33" t="b">
        <v>0</v>
      </c>
      <c r="AG18" s="33" t="b">
        <v>0</v>
      </c>
      <c r="AH18" s="33" t="b">
        <v>0</v>
      </c>
      <c r="AI18" s="24"/>
      <c r="AJ18" s="34">
        <f t="shared" si="1"/>
        <v>0</v>
      </c>
      <c r="AK18" s="35" t="str">
        <f t="shared" si="0"/>
        <v/>
      </c>
    </row>
    <row r="19" spans="2:37" x14ac:dyDescent="0.2">
      <c r="B19" s="24" t="s">
        <v>21</v>
      </c>
      <c r="C19" s="24"/>
      <c r="D19" s="33" t="b">
        <v>0</v>
      </c>
      <c r="E19" s="33" t="b">
        <v>0</v>
      </c>
      <c r="F19" s="33" t="b">
        <v>0</v>
      </c>
      <c r="G19" s="33" t="b">
        <v>0</v>
      </c>
      <c r="H19" s="33" t="b">
        <v>0</v>
      </c>
      <c r="I19" s="33" t="b">
        <v>0</v>
      </c>
      <c r="J19" s="33" t="b">
        <v>0</v>
      </c>
      <c r="K19" s="33" t="b">
        <v>0</v>
      </c>
      <c r="L19" s="33" t="b">
        <v>0</v>
      </c>
      <c r="M19" s="33" t="b">
        <v>0</v>
      </c>
      <c r="N19" s="33" t="b">
        <v>0</v>
      </c>
      <c r="O19" s="33" t="b">
        <v>0</v>
      </c>
      <c r="P19" s="33" t="b">
        <v>0</v>
      </c>
      <c r="Q19" s="33" t="b">
        <v>0</v>
      </c>
      <c r="R19" s="33" t="b">
        <v>0</v>
      </c>
      <c r="S19" s="33" t="b">
        <v>0</v>
      </c>
      <c r="T19" s="33" t="b">
        <v>0</v>
      </c>
      <c r="U19" s="33" t="b">
        <v>0</v>
      </c>
      <c r="V19" s="33" t="b">
        <v>0</v>
      </c>
      <c r="W19" s="33" t="b">
        <v>0</v>
      </c>
      <c r="X19" s="33" t="b">
        <v>0</v>
      </c>
      <c r="Y19" s="33" t="b">
        <v>0</v>
      </c>
      <c r="Z19" s="33" t="b">
        <v>0</v>
      </c>
      <c r="AA19" s="33" t="b">
        <v>0</v>
      </c>
      <c r="AB19" s="33" t="b">
        <v>0</v>
      </c>
      <c r="AC19" s="33" t="b">
        <v>0</v>
      </c>
      <c r="AD19" s="33" t="b">
        <v>0</v>
      </c>
      <c r="AE19" s="33" t="b">
        <v>0</v>
      </c>
      <c r="AF19" s="33" t="b">
        <v>0</v>
      </c>
      <c r="AG19" s="33" t="b">
        <v>0</v>
      </c>
      <c r="AH19" s="33" t="b">
        <v>0</v>
      </c>
      <c r="AI19" s="24"/>
      <c r="AJ19" s="34">
        <f t="shared" si="1"/>
        <v>0</v>
      </c>
      <c r="AK19" s="35" t="str">
        <f t="shared" si="0"/>
        <v/>
      </c>
    </row>
    <row r="20" spans="2:37" x14ac:dyDescent="0.2">
      <c r="B20" s="24" t="s">
        <v>20</v>
      </c>
      <c r="C20" s="24"/>
      <c r="D20" s="33" t="b">
        <v>0</v>
      </c>
      <c r="E20" s="33" t="b">
        <v>0</v>
      </c>
      <c r="F20" s="33" t="b">
        <v>0</v>
      </c>
      <c r="G20" s="33" t="b">
        <v>0</v>
      </c>
      <c r="H20" s="33" t="b">
        <v>0</v>
      </c>
      <c r="I20" s="33" t="b">
        <v>0</v>
      </c>
      <c r="J20" s="33" t="b">
        <v>0</v>
      </c>
      <c r="K20" s="33" t="b">
        <v>0</v>
      </c>
      <c r="L20" s="33" t="b">
        <v>0</v>
      </c>
      <c r="M20" s="33" t="b">
        <v>0</v>
      </c>
      <c r="N20" s="33" t="b">
        <v>0</v>
      </c>
      <c r="O20" s="33" t="b">
        <v>0</v>
      </c>
      <c r="P20" s="33" t="b">
        <v>0</v>
      </c>
      <c r="Q20" s="33" t="b">
        <v>0</v>
      </c>
      <c r="R20" s="33" t="b">
        <v>0</v>
      </c>
      <c r="S20" s="33" t="b">
        <v>0</v>
      </c>
      <c r="T20" s="33" t="b">
        <v>0</v>
      </c>
      <c r="U20" s="33" t="b">
        <v>0</v>
      </c>
      <c r="V20" s="33" t="b">
        <v>0</v>
      </c>
      <c r="W20" s="33" t="b">
        <v>0</v>
      </c>
      <c r="X20" s="33" t="b">
        <v>0</v>
      </c>
      <c r="Y20" s="33" t="b">
        <v>0</v>
      </c>
      <c r="Z20" s="33" t="b">
        <v>0</v>
      </c>
      <c r="AA20" s="33" t="b">
        <v>0</v>
      </c>
      <c r="AB20" s="33" t="b">
        <v>0</v>
      </c>
      <c r="AC20" s="33" t="b">
        <v>0</v>
      </c>
      <c r="AD20" s="33" t="b">
        <v>0</v>
      </c>
      <c r="AE20" s="33" t="b">
        <v>0</v>
      </c>
      <c r="AF20" s="33" t="b">
        <v>0</v>
      </c>
      <c r="AG20" s="33" t="b">
        <v>0</v>
      </c>
      <c r="AH20" s="33" t="b">
        <v>0</v>
      </c>
      <c r="AI20" s="24"/>
      <c r="AJ20" s="34">
        <f t="shared" si="1"/>
        <v>0</v>
      </c>
      <c r="AK20" s="35" t="str">
        <f t="shared" si="0"/>
        <v/>
      </c>
    </row>
    <row r="21" spans="2:37" x14ac:dyDescent="0.2">
      <c r="B21" s="24" t="s">
        <v>22</v>
      </c>
      <c r="C21" s="24"/>
      <c r="D21" s="33" t="b">
        <v>0</v>
      </c>
      <c r="E21" s="33" t="b">
        <v>0</v>
      </c>
      <c r="F21" s="33" t="b">
        <v>0</v>
      </c>
      <c r="G21" s="33" t="b">
        <v>0</v>
      </c>
      <c r="H21" s="33" t="b">
        <v>0</v>
      </c>
      <c r="I21" s="33" t="b">
        <v>0</v>
      </c>
      <c r="J21" s="33" t="b">
        <v>0</v>
      </c>
      <c r="K21" s="33" t="b">
        <v>0</v>
      </c>
      <c r="L21" s="33" t="b">
        <v>0</v>
      </c>
      <c r="M21" s="33" t="b">
        <v>0</v>
      </c>
      <c r="N21" s="33" t="b">
        <v>0</v>
      </c>
      <c r="O21" s="33" t="b">
        <v>0</v>
      </c>
      <c r="P21" s="33" t="b">
        <v>0</v>
      </c>
      <c r="Q21" s="33" t="b">
        <v>0</v>
      </c>
      <c r="R21" s="33" t="b">
        <v>0</v>
      </c>
      <c r="S21" s="33" t="b">
        <v>0</v>
      </c>
      <c r="T21" s="33" t="b">
        <v>0</v>
      </c>
      <c r="U21" s="33" t="b">
        <v>0</v>
      </c>
      <c r="V21" s="33" t="b">
        <v>0</v>
      </c>
      <c r="W21" s="33" t="b">
        <v>0</v>
      </c>
      <c r="X21" s="33" t="b">
        <v>0</v>
      </c>
      <c r="Y21" s="33" t="b">
        <v>0</v>
      </c>
      <c r="Z21" s="33" t="b">
        <v>0</v>
      </c>
      <c r="AA21" s="33" t="b">
        <v>0</v>
      </c>
      <c r="AB21" s="33" t="b">
        <v>0</v>
      </c>
      <c r="AC21" s="33" t="b">
        <v>0</v>
      </c>
      <c r="AD21" s="33" t="b">
        <v>0</v>
      </c>
      <c r="AE21" s="33" t="b">
        <v>0</v>
      </c>
      <c r="AF21" s="33" t="b">
        <v>0</v>
      </c>
      <c r="AG21" s="33" t="b">
        <v>0</v>
      </c>
      <c r="AH21" s="33" t="b">
        <v>0</v>
      </c>
      <c r="AI21" s="24"/>
      <c r="AJ21" s="34">
        <f t="shared" si="1"/>
        <v>0</v>
      </c>
      <c r="AK21" s="35" t="str">
        <f t="shared" si="0"/>
        <v/>
      </c>
    </row>
    <row r="22" spans="2:37" x14ac:dyDescent="0.2">
      <c r="B22" s="24" t="s">
        <v>5</v>
      </c>
      <c r="C22" s="24"/>
      <c r="D22" s="33" t="b">
        <v>0</v>
      </c>
      <c r="E22" s="33" t="b">
        <v>0</v>
      </c>
      <c r="F22" s="33" t="b">
        <v>0</v>
      </c>
      <c r="G22" s="33" t="b">
        <v>0</v>
      </c>
      <c r="H22" s="33" t="b">
        <v>0</v>
      </c>
      <c r="I22" s="33" t="b">
        <v>0</v>
      </c>
      <c r="J22" s="33" t="b">
        <v>0</v>
      </c>
      <c r="K22" s="33" t="b">
        <v>0</v>
      </c>
      <c r="L22" s="33" t="b">
        <v>0</v>
      </c>
      <c r="M22" s="33" t="b">
        <v>0</v>
      </c>
      <c r="N22" s="33" t="b">
        <v>0</v>
      </c>
      <c r="O22" s="33" t="b">
        <v>0</v>
      </c>
      <c r="P22" s="33" t="b">
        <v>0</v>
      </c>
      <c r="Q22" s="33" t="b">
        <v>0</v>
      </c>
      <c r="R22" s="33" t="b">
        <v>0</v>
      </c>
      <c r="S22" s="33" t="b">
        <v>0</v>
      </c>
      <c r="T22" s="33" t="b">
        <v>0</v>
      </c>
      <c r="U22" s="33" t="b">
        <v>0</v>
      </c>
      <c r="V22" s="33" t="b">
        <v>0</v>
      </c>
      <c r="W22" s="33" t="b">
        <v>0</v>
      </c>
      <c r="X22" s="33" t="b">
        <v>0</v>
      </c>
      <c r="Y22" s="33" t="b">
        <v>0</v>
      </c>
      <c r="Z22" s="33" t="b">
        <v>0</v>
      </c>
      <c r="AA22" s="33" t="b">
        <v>0</v>
      </c>
      <c r="AB22" s="33" t="b">
        <v>0</v>
      </c>
      <c r="AC22" s="33" t="b">
        <v>0</v>
      </c>
      <c r="AD22" s="33" t="b">
        <v>0</v>
      </c>
      <c r="AE22" s="33" t="b">
        <v>0</v>
      </c>
      <c r="AF22" s="33" t="b">
        <v>0</v>
      </c>
      <c r="AG22" s="33" t="b">
        <v>0</v>
      </c>
      <c r="AH22" s="33" t="b">
        <v>0</v>
      </c>
      <c r="AI22" s="24"/>
      <c r="AJ22" s="34">
        <f t="shared" si="1"/>
        <v>0</v>
      </c>
      <c r="AK22" s="35" t="str">
        <f t="shared" si="0"/>
        <v/>
      </c>
    </row>
    <row r="23" spans="2:37" x14ac:dyDescent="0.2">
      <c r="B23" s="24" t="s">
        <v>23</v>
      </c>
      <c r="C23" s="24"/>
      <c r="D23" s="33" t="b">
        <v>0</v>
      </c>
      <c r="E23" s="33" t="b">
        <v>0</v>
      </c>
      <c r="F23" s="33" t="b">
        <v>0</v>
      </c>
      <c r="G23" s="33" t="b">
        <v>0</v>
      </c>
      <c r="H23" s="33" t="b">
        <v>0</v>
      </c>
      <c r="I23" s="33" t="b">
        <v>0</v>
      </c>
      <c r="J23" s="33" t="b">
        <v>0</v>
      </c>
      <c r="K23" s="33" t="b">
        <v>0</v>
      </c>
      <c r="L23" s="33" t="b">
        <v>0</v>
      </c>
      <c r="M23" s="33" t="b">
        <v>0</v>
      </c>
      <c r="N23" s="33" t="b">
        <v>0</v>
      </c>
      <c r="O23" s="33" t="b">
        <v>0</v>
      </c>
      <c r="P23" s="33" t="b">
        <v>0</v>
      </c>
      <c r="Q23" s="33" t="b">
        <v>0</v>
      </c>
      <c r="R23" s="33" t="b">
        <v>0</v>
      </c>
      <c r="S23" s="33" t="b">
        <v>0</v>
      </c>
      <c r="T23" s="33" t="b">
        <v>0</v>
      </c>
      <c r="U23" s="33" t="b">
        <v>0</v>
      </c>
      <c r="V23" s="33" t="b">
        <v>0</v>
      </c>
      <c r="W23" s="33" t="b">
        <v>0</v>
      </c>
      <c r="X23" s="33" t="b">
        <v>0</v>
      </c>
      <c r="Y23" s="33" t="b">
        <v>0</v>
      </c>
      <c r="Z23" s="33" t="b">
        <v>0</v>
      </c>
      <c r="AA23" s="33" t="b">
        <v>0</v>
      </c>
      <c r="AB23" s="33" t="b">
        <v>0</v>
      </c>
      <c r="AC23" s="33" t="b">
        <v>0</v>
      </c>
      <c r="AD23" s="33" t="b">
        <v>0</v>
      </c>
      <c r="AE23" s="33" t="b">
        <v>0</v>
      </c>
      <c r="AF23" s="33" t="b">
        <v>0</v>
      </c>
      <c r="AG23" s="33" t="b">
        <v>0</v>
      </c>
      <c r="AH23" s="33" t="b">
        <v>0</v>
      </c>
      <c r="AI23" s="24"/>
      <c r="AJ23" s="34">
        <f t="shared" si="1"/>
        <v>0</v>
      </c>
      <c r="AK23" s="35" t="str">
        <f t="shared" si="0"/>
        <v/>
      </c>
    </row>
    <row r="24" spans="2:37" x14ac:dyDescent="0.2">
      <c r="B24" s="24" t="s">
        <v>24</v>
      </c>
      <c r="C24" s="24"/>
      <c r="D24" s="33" t="b">
        <v>0</v>
      </c>
      <c r="E24" s="33" t="b">
        <v>0</v>
      </c>
      <c r="F24" s="33" t="b">
        <v>0</v>
      </c>
      <c r="G24" s="33" t="b">
        <v>0</v>
      </c>
      <c r="H24" s="33" t="b">
        <v>0</v>
      </c>
      <c r="I24" s="33" t="b">
        <v>0</v>
      </c>
      <c r="J24" s="33" t="b">
        <v>0</v>
      </c>
      <c r="K24" s="33" t="b">
        <v>0</v>
      </c>
      <c r="L24" s="33" t="b">
        <v>0</v>
      </c>
      <c r="M24" s="33" t="b">
        <v>0</v>
      </c>
      <c r="N24" s="33" t="b">
        <v>0</v>
      </c>
      <c r="O24" s="33" t="b">
        <v>0</v>
      </c>
      <c r="P24" s="33" t="b">
        <v>0</v>
      </c>
      <c r="Q24" s="33" t="b">
        <v>0</v>
      </c>
      <c r="R24" s="33" t="b">
        <v>0</v>
      </c>
      <c r="S24" s="33" t="b">
        <v>0</v>
      </c>
      <c r="T24" s="33" t="b">
        <v>0</v>
      </c>
      <c r="U24" s="33" t="b">
        <v>0</v>
      </c>
      <c r="V24" s="33" t="b">
        <v>0</v>
      </c>
      <c r="W24" s="33" t="b">
        <v>0</v>
      </c>
      <c r="X24" s="33" t="b">
        <v>0</v>
      </c>
      <c r="Y24" s="33" t="b">
        <v>0</v>
      </c>
      <c r="Z24" s="33" t="b">
        <v>0</v>
      </c>
      <c r="AA24" s="33" t="b">
        <v>0</v>
      </c>
      <c r="AB24" s="33" t="b">
        <v>0</v>
      </c>
      <c r="AC24" s="33" t="b">
        <v>0</v>
      </c>
      <c r="AD24" s="33" t="b">
        <v>0</v>
      </c>
      <c r="AE24" s="33" t="b">
        <v>0</v>
      </c>
      <c r="AF24" s="33" t="b">
        <v>0</v>
      </c>
      <c r="AG24" s="33" t="b">
        <v>0</v>
      </c>
      <c r="AH24" s="33" t="b">
        <v>0</v>
      </c>
      <c r="AI24" s="24"/>
      <c r="AJ24" s="34">
        <f t="shared" si="1"/>
        <v>0</v>
      </c>
      <c r="AK24" s="35" t="str">
        <f t="shared" si="0"/>
        <v/>
      </c>
    </row>
    <row r="25" spans="2:37" s="13" customFormat="1" x14ac:dyDescent="0.2"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3" t="s">
        <v>37</v>
      </c>
    </row>
    <row r="26" spans="2:37" s="10" customFormat="1" x14ac:dyDescent="0.2">
      <c r="B26" s="10" t="s">
        <v>6</v>
      </c>
      <c r="D26" s="11">
        <f t="shared" ref="D26:AH26" si="2">COUNTIF(D15:D24,"TRUE")</f>
        <v>0</v>
      </c>
      <c r="E26" s="11">
        <f t="shared" si="2"/>
        <v>0</v>
      </c>
      <c r="F26" s="11">
        <f t="shared" si="2"/>
        <v>0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0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1">
        <f t="shared" si="2"/>
        <v>0</v>
      </c>
      <c r="O26" s="11">
        <f t="shared" si="2"/>
        <v>0</v>
      </c>
      <c r="P26" s="11">
        <f t="shared" si="2"/>
        <v>0</v>
      </c>
      <c r="Q26" s="11">
        <f t="shared" si="2"/>
        <v>0</v>
      </c>
      <c r="R26" s="11">
        <f t="shared" si="2"/>
        <v>0</v>
      </c>
      <c r="S26" s="11">
        <f t="shared" si="2"/>
        <v>0</v>
      </c>
      <c r="T26" s="11">
        <f t="shared" si="2"/>
        <v>0</v>
      </c>
      <c r="U26" s="11">
        <f t="shared" si="2"/>
        <v>0</v>
      </c>
      <c r="V26" s="11">
        <f t="shared" si="2"/>
        <v>0</v>
      </c>
      <c r="W26" s="11">
        <f t="shared" si="2"/>
        <v>0</v>
      </c>
      <c r="X26" s="11">
        <f t="shared" si="2"/>
        <v>0</v>
      </c>
      <c r="Y26" s="11">
        <f t="shared" si="2"/>
        <v>0</v>
      </c>
      <c r="Z26" s="11">
        <f t="shared" si="2"/>
        <v>0</v>
      </c>
      <c r="AA26" s="11">
        <f t="shared" si="2"/>
        <v>0</v>
      </c>
      <c r="AB26" s="11">
        <f t="shared" si="2"/>
        <v>0</v>
      </c>
      <c r="AC26" s="11">
        <f t="shared" si="2"/>
        <v>0</v>
      </c>
      <c r="AD26" s="11">
        <f t="shared" si="2"/>
        <v>0</v>
      </c>
      <c r="AE26" s="11">
        <f t="shared" si="2"/>
        <v>0</v>
      </c>
      <c r="AF26" s="11">
        <f t="shared" si="2"/>
        <v>0</v>
      </c>
      <c r="AG26" s="11">
        <f t="shared" si="2"/>
        <v>0</v>
      </c>
      <c r="AH26" s="11">
        <f t="shared" si="2"/>
        <v>0</v>
      </c>
    </row>
    <row r="27" spans="2:37" s="10" customFormat="1" x14ac:dyDescent="0.2">
      <c r="B27" s="10" t="s">
        <v>7</v>
      </c>
      <c r="D27" s="12">
        <f t="shared" ref="D27:AH27" si="3">D26/COUNTA(D15:D24)</f>
        <v>0</v>
      </c>
      <c r="E27" s="12">
        <f t="shared" si="3"/>
        <v>0</v>
      </c>
      <c r="F27" s="12">
        <f t="shared" si="3"/>
        <v>0</v>
      </c>
      <c r="G27" s="12">
        <f t="shared" si="3"/>
        <v>0</v>
      </c>
      <c r="H27" s="12">
        <f t="shared" si="3"/>
        <v>0</v>
      </c>
      <c r="I27" s="12">
        <f t="shared" si="3"/>
        <v>0</v>
      </c>
      <c r="J27" s="12">
        <f t="shared" si="3"/>
        <v>0</v>
      </c>
      <c r="K27" s="12">
        <f t="shared" si="3"/>
        <v>0</v>
      </c>
      <c r="L27" s="12">
        <f t="shared" si="3"/>
        <v>0</v>
      </c>
      <c r="M27" s="12">
        <f t="shared" si="3"/>
        <v>0</v>
      </c>
      <c r="N27" s="12">
        <f t="shared" si="3"/>
        <v>0</v>
      </c>
      <c r="O27" s="12">
        <f t="shared" si="3"/>
        <v>0</v>
      </c>
      <c r="P27" s="12">
        <f t="shared" si="3"/>
        <v>0</v>
      </c>
      <c r="Q27" s="12">
        <f t="shared" si="3"/>
        <v>0</v>
      </c>
      <c r="R27" s="12">
        <f t="shared" si="3"/>
        <v>0</v>
      </c>
      <c r="S27" s="12">
        <f t="shared" si="3"/>
        <v>0</v>
      </c>
      <c r="T27" s="12">
        <f t="shared" si="3"/>
        <v>0</v>
      </c>
      <c r="U27" s="12">
        <f t="shared" si="3"/>
        <v>0</v>
      </c>
      <c r="V27" s="12">
        <f t="shared" si="3"/>
        <v>0</v>
      </c>
      <c r="W27" s="12">
        <f t="shared" si="3"/>
        <v>0</v>
      </c>
      <c r="X27" s="12">
        <f t="shared" si="3"/>
        <v>0</v>
      </c>
      <c r="Y27" s="12">
        <f t="shared" si="3"/>
        <v>0</v>
      </c>
      <c r="Z27" s="12">
        <f t="shared" si="3"/>
        <v>0</v>
      </c>
      <c r="AA27" s="12">
        <f t="shared" si="3"/>
        <v>0</v>
      </c>
      <c r="AB27" s="12">
        <f t="shared" si="3"/>
        <v>0</v>
      </c>
      <c r="AC27" s="12">
        <f t="shared" si="3"/>
        <v>0</v>
      </c>
      <c r="AD27" s="12">
        <f t="shared" si="3"/>
        <v>0</v>
      </c>
      <c r="AE27" s="12">
        <f t="shared" si="3"/>
        <v>0</v>
      </c>
      <c r="AF27" s="12">
        <f t="shared" si="3"/>
        <v>0</v>
      </c>
      <c r="AG27" s="12">
        <f t="shared" si="3"/>
        <v>0</v>
      </c>
      <c r="AH27" s="12">
        <f t="shared" si="3"/>
        <v>0</v>
      </c>
    </row>
    <row r="28" spans="2:37" s="13" customFormat="1" hidden="1" x14ac:dyDescent="0.2"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2:37" s="15" customFormat="1" hidden="1" x14ac:dyDescent="0.2"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 t="s">
        <v>8</v>
      </c>
      <c r="Y29" s="8"/>
    </row>
  </sheetData>
  <sheetProtection algorithmName="SHA-512" hashValue="T5lhPIsSbiHMhQEJRYxp/gdyF2luEDjDXkPunXeZqtW49giXaOUcJmqlYd+04TtgEe4LACIqGvgT8Sse7idM7w==" saltValue="6sFDqZ80o4c38p2UO4CFaQ==" spinCount="100000" sheet="1" objects="1" scenarios="1"/>
  <mergeCells count="8">
    <mergeCell ref="AJ12:AJ14"/>
    <mergeCell ref="AK12:AK14"/>
    <mergeCell ref="B12:B14"/>
    <mergeCell ref="D12:J12"/>
    <mergeCell ref="K12:Q12"/>
    <mergeCell ref="R12:X12"/>
    <mergeCell ref="Y12:AE12"/>
    <mergeCell ref="AF12:AH12"/>
  </mergeCells>
  <conditionalFormatting sqref="AC5:AC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{0A9F0525-233F-694D-ABDE-3D13EA50FD0D}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9F0525-233F-694D-ABDE-3D13EA50FD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AC5:AC7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31EC3-2B1E-3240-ACC2-8BA36A96F0D6}">
  <dimension ref="A1:XFC29"/>
  <sheetViews>
    <sheetView topLeftCell="B1" workbookViewId="0">
      <selection activeCell="S16" sqref="S16"/>
    </sheetView>
  </sheetViews>
  <sheetFormatPr baseColWidth="10" defaultColWidth="0" defaultRowHeight="16" customHeight="1" zeroHeight="1" x14ac:dyDescent="0.2"/>
  <cols>
    <col min="1" max="1" width="11.1640625" hidden="1"/>
    <col min="2" max="2" width="31" style="15" customWidth="1"/>
    <col min="3" max="3" width="0.1640625" style="15" hidden="1"/>
    <col min="4" max="4" width="4.83203125" style="15" customWidth="1"/>
    <col min="5" max="5" width="3.6640625" style="8" customWidth="1"/>
    <col min="6" max="6" width="4.6640625" style="8" customWidth="1"/>
    <col min="7" max="7" width="4.1640625" style="8" customWidth="1"/>
    <col min="8" max="8" width="5.1640625" style="8" customWidth="1"/>
    <col min="9" max="9" width="5.5" style="8" customWidth="1"/>
    <col min="10" max="11" width="6.1640625" style="8" customWidth="1"/>
    <col min="12" max="12" width="6.33203125" style="8" customWidth="1"/>
    <col min="13" max="17" width="6.1640625" style="8" customWidth="1"/>
    <col min="18" max="18" width="5" style="8" customWidth="1"/>
    <col min="19" max="19" width="6.1640625" style="8" customWidth="1"/>
    <col min="20" max="20" width="6.5" style="8" customWidth="1"/>
    <col min="21" max="22" width="6.1640625" style="8" customWidth="1"/>
    <col min="23" max="24" width="5.83203125" style="8" customWidth="1"/>
    <col min="25" max="25" width="8" style="8" customWidth="1"/>
    <col min="26" max="26" width="5.83203125" style="15" customWidth="1"/>
    <col min="27" max="27" width="6.83203125" style="15" customWidth="1"/>
    <col min="28" max="28" width="5.6640625" style="15" customWidth="1"/>
    <col min="29" max="29" width="6" style="15" customWidth="1"/>
    <col min="30" max="30" width="7.33203125" style="15" customWidth="1"/>
    <col min="31" max="31" width="6.83203125" style="15" customWidth="1"/>
    <col min="32" max="32" width="7.1640625" style="15" customWidth="1"/>
    <col min="33" max="33" width="7.6640625" style="15" customWidth="1"/>
    <col min="34" max="34" width="8" style="15" hidden="1"/>
    <col min="35" max="35" width="11.33203125" style="15" hidden="1"/>
    <col min="36" max="36" width="16.33203125" style="15" customWidth="1"/>
    <col min="37" max="37" width="20.5" customWidth="1"/>
    <col min="38" max="16377" width="11.1640625" hidden="1"/>
    <col min="16378" max="16378" width="14" hidden="1"/>
    <col min="16379" max="16379" width="14.5" hidden="1"/>
    <col min="16380" max="16382" width="0.1640625" hidden="1"/>
    <col min="16383" max="16383" width="20" hidden="1"/>
    <col min="16384" max="16384" width="31.1640625" hidden="1"/>
  </cols>
  <sheetData>
    <row r="1" spans="2:37" x14ac:dyDescent="0.2"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2:37" x14ac:dyDescent="0.2">
      <c r="B2" s="9" t="s">
        <v>27</v>
      </c>
      <c r="C2" s="5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3"/>
      <c r="AA2" s="3"/>
      <c r="AB2" s="3"/>
      <c r="AC2" s="3"/>
      <c r="AD2" s="3"/>
      <c r="AE2" s="3"/>
      <c r="AF2" s="3"/>
      <c r="AG2" s="3"/>
      <c r="AH2" s="3"/>
      <c r="AI2" s="3"/>
      <c r="AJ2" s="4"/>
      <c r="AK2" s="36" t="s">
        <v>30</v>
      </c>
    </row>
    <row r="3" spans="2:37" x14ac:dyDescent="0.2">
      <c r="B3" s="6">
        <v>46023</v>
      </c>
      <c r="C3" s="6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4"/>
      <c r="AK3" s="7">
        <f>COUNTIF(D27:AG27,"100%")</f>
        <v>0</v>
      </c>
    </row>
    <row r="4" spans="2:37" x14ac:dyDescent="0.2">
      <c r="B4" s="40" t="s">
        <v>0</v>
      </c>
      <c r="C4" s="5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3"/>
      <c r="AA4" s="3"/>
      <c r="AB4" s="3"/>
      <c r="AC4" s="3"/>
      <c r="AD4" s="3"/>
      <c r="AE4" s="3"/>
      <c r="AF4" s="3"/>
      <c r="AG4" s="3"/>
      <c r="AH4" s="3"/>
      <c r="AI4" s="3"/>
      <c r="AJ4" s="4"/>
      <c r="AK4" s="37" t="s">
        <v>31</v>
      </c>
    </row>
    <row r="5" spans="2:37" x14ac:dyDescent="0.2">
      <c r="B5" s="4" t="str">
        <f>_xlfn.XLOOKUP(MAX(AJ15:AJ24),AJ15:AJ24,B15:B24)</f>
        <v>Daily Exercise</v>
      </c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3"/>
      <c r="AA5" s="3"/>
      <c r="AB5" s="3"/>
      <c r="AC5" s="3"/>
      <c r="AD5" s="3"/>
      <c r="AE5" s="3"/>
      <c r="AF5" s="3"/>
      <c r="AG5" s="3"/>
      <c r="AH5" s="3"/>
      <c r="AI5" s="3"/>
      <c r="AJ5" s="4"/>
      <c r="AK5" s="7">
        <f>COUNTIF(D27:AG27,"&gt;50%")</f>
        <v>0</v>
      </c>
    </row>
    <row r="6" spans="2:37" x14ac:dyDescent="0.2">
      <c r="B6" s="4" t="s">
        <v>22</v>
      </c>
      <c r="C6" s="4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3"/>
      <c r="AA6" s="3"/>
      <c r="AB6" s="3"/>
      <c r="AC6" s="3"/>
      <c r="AD6" s="3"/>
      <c r="AE6" s="3"/>
      <c r="AF6" s="3"/>
      <c r="AG6" s="3"/>
      <c r="AH6" s="3"/>
      <c r="AI6" s="3"/>
      <c r="AJ6" s="4"/>
      <c r="AK6" s="3"/>
    </row>
    <row r="7" spans="2:37" x14ac:dyDescent="0.2">
      <c r="B7" s="39" t="s">
        <v>1</v>
      </c>
      <c r="C7" s="5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4"/>
      <c r="AK7" s="38" t="s">
        <v>32</v>
      </c>
    </row>
    <row r="8" spans="2:37" x14ac:dyDescent="0.2">
      <c r="B8" s="4" t="s">
        <v>34</v>
      </c>
      <c r="C8" s="4"/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3"/>
      <c r="AA8" s="3"/>
      <c r="AB8" s="3"/>
      <c r="AC8" s="3"/>
      <c r="AD8" s="3"/>
      <c r="AE8" s="3"/>
      <c r="AF8" s="3"/>
      <c r="AG8" s="3"/>
      <c r="AH8" s="3"/>
      <c r="AI8" s="3"/>
      <c r="AJ8" s="4"/>
      <c r="AK8" s="7">
        <f>COUNTIF(D27:AG27,"0%")</f>
        <v>30</v>
      </c>
    </row>
    <row r="9" spans="2:37" x14ac:dyDescent="0.2">
      <c r="B9" s="4" t="s">
        <v>35</v>
      </c>
      <c r="C9" s="4"/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3"/>
      <c r="AA9" s="3"/>
      <c r="AB9" s="3"/>
      <c r="AC9" s="3"/>
      <c r="AD9" s="3"/>
      <c r="AE9" s="3"/>
      <c r="AF9" s="3"/>
      <c r="AG9" s="3"/>
      <c r="AH9" s="3"/>
      <c r="AI9" s="3"/>
      <c r="AJ9" s="4"/>
      <c r="AK9" s="7"/>
    </row>
    <row r="10" spans="2:37" x14ac:dyDescent="0.2">
      <c r="B10" s="4" t="s">
        <v>36</v>
      </c>
      <c r="C10" s="4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4"/>
      <c r="AK10" s="7"/>
    </row>
    <row r="11" spans="2:37" x14ac:dyDescent="0.2">
      <c r="B11" s="4"/>
      <c r="C11" s="4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4"/>
      <c r="AK11" s="7"/>
    </row>
    <row r="12" spans="2:37" ht="16" customHeight="1" x14ac:dyDescent="0.2">
      <c r="B12" s="45" t="s">
        <v>25</v>
      </c>
      <c r="C12" s="18"/>
      <c r="D12" s="53" t="s">
        <v>26</v>
      </c>
      <c r="E12" s="53"/>
      <c r="F12" s="53"/>
      <c r="G12" s="53"/>
      <c r="H12" s="53"/>
      <c r="I12" s="53"/>
      <c r="J12" s="53"/>
      <c r="K12" s="54" t="s">
        <v>2</v>
      </c>
      <c r="L12" s="54"/>
      <c r="M12" s="54"/>
      <c r="N12" s="54"/>
      <c r="O12" s="54"/>
      <c r="P12" s="54"/>
      <c r="Q12" s="54"/>
      <c r="R12" s="55" t="s">
        <v>3</v>
      </c>
      <c r="S12" s="55"/>
      <c r="T12" s="55"/>
      <c r="U12" s="55"/>
      <c r="V12" s="55"/>
      <c r="W12" s="55"/>
      <c r="X12" s="55"/>
      <c r="Y12" s="56" t="s">
        <v>9</v>
      </c>
      <c r="Z12" s="56"/>
      <c r="AA12" s="56"/>
      <c r="AB12" s="56"/>
      <c r="AC12" s="56"/>
      <c r="AD12" s="56"/>
      <c r="AE12" s="56"/>
      <c r="AF12" s="57" t="s">
        <v>17</v>
      </c>
      <c r="AG12" s="57"/>
      <c r="AH12" s="57"/>
      <c r="AI12" s="24"/>
      <c r="AJ12" s="47" t="s">
        <v>28</v>
      </c>
      <c r="AK12" s="50" t="s">
        <v>29</v>
      </c>
    </row>
    <row r="13" spans="2:37" s="2" customFormat="1" x14ac:dyDescent="0.2">
      <c r="B13" s="46"/>
      <c r="C13" s="18"/>
      <c r="D13" s="19" t="s">
        <v>16</v>
      </c>
      <c r="E13" s="19" t="s">
        <v>10</v>
      </c>
      <c r="F13" s="27" t="s">
        <v>11</v>
      </c>
      <c r="G13" s="27" t="s">
        <v>12</v>
      </c>
      <c r="H13" s="27" t="s">
        <v>13</v>
      </c>
      <c r="I13" s="27" t="s">
        <v>14</v>
      </c>
      <c r="J13" s="27" t="s">
        <v>15</v>
      </c>
      <c r="K13" s="28" t="s">
        <v>16</v>
      </c>
      <c r="L13" s="28" t="s">
        <v>10</v>
      </c>
      <c r="M13" s="28" t="s">
        <v>11</v>
      </c>
      <c r="N13" s="28" t="s">
        <v>12</v>
      </c>
      <c r="O13" s="28" t="s">
        <v>13</v>
      </c>
      <c r="P13" s="28" t="s">
        <v>14</v>
      </c>
      <c r="Q13" s="28" t="s">
        <v>15</v>
      </c>
      <c r="R13" s="29" t="s">
        <v>16</v>
      </c>
      <c r="S13" s="29" t="s">
        <v>10</v>
      </c>
      <c r="T13" s="29" t="s">
        <v>11</v>
      </c>
      <c r="U13" s="29" t="s">
        <v>12</v>
      </c>
      <c r="V13" s="29" t="s">
        <v>13</v>
      </c>
      <c r="W13" s="29" t="s">
        <v>14</v>
      </c>
      <c r="X13" s="29" t="s">
        <v>15</v>
      </c>
      <c r="Y13" s="30" t="s">
        <v>16</v>
      </c>
      <c r="Z13" s="30" t="s">
        <v>10</v>
      </c>
      <c r="AA13" s="30" t="s">
        <v>11</v>
      </c>
      <c r="AB13" s="30" t="s">
        <v>12</v>
      </c>
      <c r="AC13" s="30" t="s">
        <v>13</v>
      </c>
      <c r="AD13" s="30" t="s">
        <v>14</v>
      </c>
      <c r="AE13" s="30" t="s">
        <v>15</v>
      </c>
      <c r="AF13" s="31" t="s">
        <v>16</v>
      </c>
      <c r="AG13" s="31" t="s">
        <v>10</v>
      </c>
      <c r="AH13" s="25" t="s">
        <v>14</v>
      </c>
      <c r="AI13" s="26"/>
      <c r="AJ13" s="48"/>
      <c r="AK13" s="51"/>
    </row>
    <row r="14" spans="2:37" s="2" customFormat="1" x14ac:dyDescent="0.2">
      <c r="B14" s="46"/>
      <c r="C14" s="18"/>
      <c r="D14" s="27" cm="1">
        <f t="array" ref="D14:X14">_xlfn.SEQUENCE(,21)</f>
        <v>1</v>
      </c>
      <c r="E14" s="27">
        <v>2</v>
      </c>
      <c r="F14" s="27">
        <v>3</v>
      </c>
      <c r="G14" s="27">
        <v>4</v>
      </c>
      <c r="H14" s="27">
        <v>5</v>
      </c>
      <c r="I14" s="27">
        <v>6</v>
      </c>
      <c r="J14" s="27">
        <v>7</v>
      </c>
      <c r="K14" s="28">
        <v>8</v>
      </c>
      <c r="L14" s="28">
        <v>9</v>
      </c>
      <c r="M14" s="28">
        <v>10</v>
      </c>
      <c r="N14" s="28">
        <v>11</v>
      </c>
      <c r="O14" s="28">
        <v>12</v>
      </c>
      <c r="P14" s="28">
        <v>13</v>
      </c>
      <c r="Q14" s="28">
        <v>14</v>
      </c>
      <c r="R14" s="29">
        <v>15</v>
      </c>
      <c r="S14" s="29">
        <v>16</v>
      </c>
      <c r="T14" s="29">
        <v>17</v>
      </c>
      <c r="U14" s="29">
        <v>18</v>
      </c>
      <c r="V14" s="29">
        <v>19</v>
      </c>
      <c r="W14" s="29">
        <v>20</v>
      </c>
      <c r="X14" s="29">
        <v>21</v>
      </c>
      <c r="Y14" s="30">
        <v>22</v>
      </c>
      <c r="Z14" s="30">
        <v>23</v>
      </c>
      <c r="AA14" s="30">
        <v>24</v>
      </c>
      <c r="AB14" s="30">
        <v>25</v>
      </c>
      <c r="AC14" s="30">
        <v>26</v>
      </c>
      <c r="AD14" s="30">
        <v>27</v>
      </c>
      <c r="AE14" s="30">
        <v>28</v>
      </c>
      <c r="AF14" s="31">
        <v>29</v>
      </c>
      <c r="AG14" s="32">
        <v>30</v>
      </c>
      <c r="AH14" s="32">
        <v>31</v>
      </c>
      <c r="AI14" s="26"/>
      <c r="AJ14" s="49"/>
      <c r="AK14" s="52"/>
    </row>
    <row r="15" spans="2:37" x14ac:dyDescent="0.2">
      <c r="B15" s="24" t="s">
        <v>4</v>
      </c>
      <c r="C15" s="24"/>
      <c r="D15" s="33" t="b">
        <v>0</v>
      </c>
      <c r="E15" s="33" t="b">
        <v>0</v>
      </c>
      <c r="F15" s="33" t="b">
        <v>0</v>
      </c>
      <c r="G15" s="33" t="b">
        <v>0</v>
      </c>
      <c r="H15" s="33" t="b">
        <v>0</v>
      </c>
      <c r="I15" s="33" t="b">
        <v>0</v>
      </c>
      <c r="J15" s="33" t="b">
        <v>0</v>
      </c>
      <c r="K15" s="33" t="b">
        <v>0</v>
      </c>
      <c r="L15" s="33" t="b">
        <v>0</v>
      </c>
      <c r="M15" s="33" t="b">
        <v>0</v>
      </c>
      <c r="N15" s="33" t="b">
        <v>0</v>
      </c>
      <c r="O15" s="33" t="b">
        <v>0</v>
      </c>
      <c r="P15" s="33" t="b">
        <v>0</v>
      </c>
      <c r="Q15" s="33" t="b">
        <v>0</v>
      </c>
      <c r="R15" s="33" t="b">
        <v>0</v>
      </c>
      <c r="S15" s="33" t="b">
        <v>0</v>
      </c>
      <c r="T15" s="33" t="b">
        <v>0</v>
      </c>
      <c r="U15" s="33" t="b">
        <v>0</v>
      </c>
      <c r="V15" s="33" t="b">
        <v>0</v>
      </c>
      <c r="W15" s="33" t="b">
        <v>0</v>
      </c>
      <c r="X15" s="33" t="b">
        <v>0</v>
      </c>
      <c r="Y15" s="33" t="b">
        <v>0</v>
      </c>
      <c r="Z15" s="33" t="b">
        <v>0</v>
      </c>
      <c r="AA15" s="33" t="b">
        <v>0</v>
      </c>
      <c r="AB15" s="33" t="b">
        <v>0</v>
      </c>
      <c r="AC15" s="33" t="b">
        <v>0</v>
      </c>
      <c r="AD15" s="33" t="b">
        <v>0</v>
      </c>
      <c r="AE15" s="33" t="b">
        <v>0</v>
      </c>
      <c r="AF15" s="33" t="b">
        <v>0</v>
      </c>
      <c r="AG15" s="33" t="b">
        <v>0</v>
      </c>
      <c r="AH15" s="33" t="b">
        <v>0</v>
      </c>
      <c r="AI15" s="24"/>
      <c r="AJ15" s="34">
        <f t="shared" ref="AJ15:AJ24" si="0">COUNTIF(D15:AG15,"TRUE")</f>
        <v>0</v>
      </c>
      <c r="AK15" s="35" t="str">
        <f t="shared" ref="AK15:AK24" si="1">REPT("|",AJ15*4)</f>
        <v/>
      </c>
    </row>
    <row r="16" spans="2:37" x14ac:dyDescent="0.2">
      <c r="B16" s="24" t="s">
        <v>18</v>
      </c>
      <c r="C16" s="24"/>
      <c r="D16" s="33" t="b">
        <v>0</v>
      </c>
      <c r="E16" s="33" t="b">
        <v>0</v>
      </c>
      <c r="F16" s="33" t="b">
        <v>0</v>
      </c>
      <c r="G16" s="33" t="b">
        <v>0</v>
      </c>
      <c r="H16" s="33" t="b">
        <v>0</v>
      </c>
      <c r="I16" s="33" t="b">
        <v>0</v>
      </c>
      <c r="J16" s="33" t="b">
        <v>0</v>
      </c>
      <c r="K16" s="33" t="b">
        <v>0</v>
      </c>
      <c r="L16" s="33" t="b">
        <v>0</v>
      </c>
      <c r="M16" s="33" t="b">
        <v>0</v>
      </c>
      <c r="N16" s="33" t="b">
        <v>0</v>
      </c>
      <c r="O16" s="33" t="b">
        <v>0</v>
      </c>
      <c r="P16" s="33" t="b">
        <v>0</v>
      </c>
      <c r="Q16" s="33" t="b">
        <v>0</v>
      </c>
      <c r="R16" s="33" t="b">
        <v>0</v>
      </c>
      <c r="S16" s="33" t="b">
        <v>0</v>
      </c>
      <c r="T16" s="33" t="b">
        <v>0</v>
      </c>
      <c r="U16" s="33" t="b">
        <v>0</v>
      </c>
      <c r="V16" s="33" t="b">
        <v>0</v>
      </c>
      <c r="W16" s="33" t="b">
        <v>0</v>
      </c>
      <c r="X16" s="33" t="b">
        <v>0</v>
      </c>
      <c r="Y16" s="33" t="b">
        <v>0</v>
      </c>
      <c r="Z16" s="33" t="b">
        <v>0</v>
      </c>
      <c r="AA16" s="33" t="b">
        <v>0</v>
      </c>
      <c r="AB16" s="33" t="b">
        <v>0</v>
      </c>
      <c r="AC16" s="33" t="b">
        <v>0</v>
      </c>
      <c r="AD16" s="33" t="b">
        <v>0</v>
      </c>
      <c r="AE16" s="33" t="b">
        <v>0</v>
      </c>
      <c r="AF16" s="33" t="b">
        <v>0</v>
      </c>
      <c r="AG16" s="33" t="b">
        <v>0</v>
      </c>
      <c r="AH16" s="33" t="b">
        <v>0</v>
      </c>
      <c r="AI16" s="24"/>
      <c r="AJ16" s="34">
        <f t="shared" si="0"/>
        <v>0</v>
      </c>
      <c r="AK16" s="35" t="str">
        <f t="shared" si="1"/>
        <v/>
      </c>
    </row>
    <row r="17" spans="2:37" x14ac:dyDescent="0.2">
      <c r="B17" s="24" t="s">
        <v>19</v>
      </c>
      <c r="C17" s="24"/>
      <c r="D17" s="33" t="b">
        <v>0</v>
      </c>
      <c r="E17" s="33" t="b">
        <v>0</v>
      </c>
      <c r="F17" s="33" t="b">
        <v>0</v>
      </c>
      <c r="G17" s="33" t="b">
        <v>0</v>
      </c>
      <c r="H17" s="33" t="b">
        <v>0</v>
      </c>
      <c r="I17" s="33" t="b">
        <v>0</v>
      </c>
      <c r="J17" s="33" t="b">
        <v>0</v>
      </c>
      <c r="K17" s="33" t="b">
        <v>0</v>
      </c>
      <c r="L17" s="33" t="b">
        <v>0</v>
      </c>
      <c r="M17" s="33" t="b">
        <v>0</v>
      </c>
      <c r="N17" s="33" t="b">
        <v>0</v>
      </c>
      <c r="O17" s="33" t="b">
        <v>0</v>
      </c>
      <c r="P17" s="33" t="b">
        <v>0</v>
      </c>
      <c r="Q17" s="33" t="b">
        <v>0</v>
      </c>
      <c r="R17" s="33" t="b">
        <v>0</v>
      </c>
      <c r="S17" s="33" t="b">
        <v>0</v>
      </c>
      <c r="T17" s="33" t="b">
        <v>0</v>
      </c>
      <c r="U17" s="33" t="b">
        <v>0</v>
      </c>
      <c r="V17" s="33" t="b">
        <v>0</v>
      </c>
      <c r="W17" s="33" t="b">
        <v>0</v>
      </c>
      <c r="X17" s="33" t="b">
        <v>0</v>
      </c>
      <c r="Y17" s="33" t="b">
        <v>0</v>
      </c>
      <c r="Z17" s="33" t="b">
        <v>0</v>
      </c>
      <c r="AA17" s="33" t="b">
        <v>0</v>
      </c>
      <c r="AB17" s="33" t="b">
        <v>0</v>
      </c>
      <c r="AC17" s="33" t="b">
        <v>0</v>
      </c>
      <c r="AD17" s="33" t="b">
        <v>0</v>
      </c>
      <c r="AE17" s="33" t="b">
        <v>0</v>
      </c>
      <c r="AF17" s="33" t="b">
        <v>0</v>
      </c>
      <c r="AG17" s="33" t="b">
        <v>0</v>
      </c>
      <c r="AH17" s="33" t="b">
        <v>0</v>
      </c>
      <c r="AI17" s="24"/>
      <c r="AJ17" s="34">
        <f t="shared" si="0"/>
        <v>0</v>
      </c>
      <c r="AK17" s="35" t="str">
        <f t="shared" si="1"/>
        <v/>
      </c>
    </row>
    <row r="18" spans="2:37" x14ac:dyDescent="0.2">
      <c r="B18" s="24" t="s">
        <v>33</v>
      </c>
      <c r="C18" s="24"/>
      <c r="D18" s="33" t="b">
        <v>0</v>
      </c>
      <c r="E18" s="33" t="b">
        <v>0</v>
      </c>
      <c r="F18" s="33" t="b">
        <v>0</v>
      </c>
      <c r="G18" s="33" t="b">
        <v>0</v>
      </c>
      <c r="H18" s="33" t="b">
        <v>0</v>
      </c>
      <c r="I18" s="33" t="b">
        <v>0</v>
      </c>
      <c r="J18" s="33" t="b">
        <v>0</v>
      </c>
      <c r="K18" s="33" t="b">
        <v>0</v>
      </c>
      <c r="L18" s="33" t="b">
        <v>0</v>
      </c>
      <c r="M18" s="33" t="b">
        <v>0</v>
      </c>
      <c r="N18" s="33" t="b">
        <v>0</v>
      </c>
      <c r="O18" s="33" t="b">
        <v>0</v>
      </c>
      <c r="P18" s="33" t="b">
        <v>0</v>
      </c>
      <c r="Q18" s="33" t="b">
        <v>0</v>
      </c>
      <c r="R18" s="33" t="b">
        <v>0</v>
      </c>
      <c r="S18" s="33" t="b">
        <v>0</v>
      </c>
      <c r="T18" s="33" t="b">
        <v>0</v>
      </c>
      <c r="U18" s="33" t="b">
        <v>0</v>
      </c>
      <c r="V18" s="33" t="b">
        <v>0</v>
      </c>
      <c r="W18" s="33" t="b">
        <v>0</v>
      </c>
      <c r="X18" s="33" t="b">
        <v>0</v>
      </c>
      <c r="Y18" s="33" t="b">
        <v>0</v>
      </c>
      <c r="Z18" s="33" t="b">
        <v>0</v>
      </c>
      <c r="AA18" s="33" t="b">
        <v>0</v>
      </c>
      <c r="AB18" s="33" t="b">
        <v>0</v>
      </c>
      <c r="AC18" s="33" t="b">
        <v>0</v>
      </c>
      <c r="AD18" s="33" t="b">
        <v>0</v>
      </c>
      <c r="AE18" s="33" t="b">
        <v>0</v>
      </c>
      <c r="AF18" s="33" t="b">
        <v>0</v>
      </c>
      <c r="AG18" s="33" t="b">
        <v>0</v>
      </c>
      <c r="AH18" s="33" t="b">
        <v>0</v>
      </c>
      <c r="AI18" s="24"/>
      <c r="AJ18" s="34">
        <f t="shared" si="0"/>
        <v>0</v>
      </c>
      <c r="AK18" s="35" t="str">
        <f t="shared" si="1"/>
        <v/>
      </c>
    </row>
    <row r="19" spans="2:37" x14ac:dyDescent="0.2">
      <c r="B19" s="24" t="s">
        <v>21</v>
      </c>
      <c r="C19" s="24"/>
      <c r="D19" s="33" t="b">
        <v>0</v>
      </c>
      <c r="E19" s="33" t="b">
        <v>0</v>
      </c>
      <c r="F19" s="33" t="b">
        <v>0</v>
      </c>
      <c r="G19" s="33" t="b">
        <v>0</v>
      </c>
      <c r="H19" s="33" t="b">
        <v>0</v>
      </c>
      <c r="I19" s="33" t="b">
        <v>0</v>
      </c>
      <c r="J19" s="33" t="b">
        <v>0</v>
      </c>
      <c r="K19" s="33" t="b">
        <v>0</v>
      </c>
      <c r="L19" s="33" t="b">
        <v>0</v>
      </c>
      <c r="M19" s="33" t="b">
        <v>0</v>
      </c>
      <c r="N19" s="33" t="b">
        <v>0</v>
      </c>
      <c r="O19" s="33" t="b">
        <v>0</v>
      </c>
      <c r="P19" s="33" t="b">
        <v>0</v>
      </c>
      <c r="Q19" s="33" t="b">
        <v>0</v>
      </c>
      <c r="R19" s="33" t="b">
        <v>0</v>
      </c>
      <c r="S19" s="33" t="b">
        <v>0</v>
      </c>
      <c r="T19" s="33" t="b">
        <v>0</v>
      </c>
      <c r="U19" s="33" t="b">
        <v>0</v>
      </c>
      <c r="V19" s="33" t="b">
        <v>0</v>
      </c>
      <c r="W19" s="33" t="b">
        <v>0</v>
      </c>
      <c r="X19" s="33" t="b">
        <v>0</v>
      </c>
      <c r="Y19" s="33" t="b">
        <v>0</v>
      </c>
      <c r="Z19" s="33" t="b">
        <v>0</v>
      </c>
      <c r="AA19" s="33" t="b">
        <v>0</v>
      </c>
      <c r="AB19" s="33" t="b">
        <v>0</v>
      </c>
      <c r="AC19" s="33" t="b">
        <v>0</v>
      </c>
      <c r="AD19" s="33" t="b">
        <v>0</v>
      </c>
      <c r="AE19" s="33" t="b">
        <v>0</v>
      </c>
      <c r="AF19" s="33" t="b">
        <v>0</v>
      </c>
      <c r="AG19" s="33" t="b">
        <v>0</v>
      </c>
      <c r="AH19" s="33" t="b">
        <v>0</v>
      </c>
      <c r="AI19" s="24"/>
      <c r="AJ19" s="34">
        <f t="shared" si="0"/>
        <v>0</v>
      </c>
      <c r="AK19" s="35" t="str">
        <f t="shared" si="1"/>
        <v/>
      </c>
    </row>
    <row r="20" spans="2:37" x14ac:dyDescent="0.2">
      <c r="B20" s="24" t="s">
        <v>20</v>
      </c>
      <c r="C20" s="24"/>
      <c r="D20" s="33" t="b">
        <v>0</v>
      </c>
      <c r="E20" s="33" t="b">
        <v>0</v>
      </c>
      <c r="F20" s="33" t="b">
        <v>0</v>
      </c>
      <c r="G20" s="33" t="b">
        <v>0</v>
      </c>
      <c r="H20" s="33" t="b">
        <v>0</v>
      </c>
      <c r="I20" s="33" t="b">
        <v>0</v>
      </c>
      <c r="J20" s="33" t="b">
        <v>0</v>
      </c>
      <c r="K20" s="33" t="b">
        <v>0</v>
      </c>
      <c r="L20" s="33" t="b">
        <v>0</v>
      </c>
      <c r="M20" s="33" t="b">
        <v>0</v>
      </c>
      <c r="N20" s="33" t="b">
        <v>0</v>
      </c>
      <c r="O20" s="33" t="b">
        <v>0</v>
      </c>
      <c r="P20" s="33" t="b">
        <v>0</v>
      </c>
      <c r="Q20" s="33" t="b">
        <v>0</v>
      </c>
      <c r="R20" s="33" t="b">
        <v>0</v>
      </c>
      <c r="S20" s="33" t="b">
        <v>0</v>
      </c>
      <c r="T20" s="33" t="b">
        <v>0</v>
      </c>
      <c r="U20" s="33" t="b">
        <v>0</v>
      </c>
      <c r="V20" s="33" t="b">
        <v>0</v>
      </c>
      <c r="W20" s="33" t="b">
        <v>0</v>
      </c>
      <c r="X20" s="33" t="b">
        <v>0</v>
      </c>
      <c r="Y20" s="33" t="b">
        <v>0</v>
      </c>
      <c r="Z20" s="33" t="b">
        <v>0</v>
      </c>
      <c r="AA20" s="33" t="b">
        <v>0</v>
      </c>
      <c r="AB20" s="33" t="b">
        <v>0</v>
      </c>
      <c r="AC20" s="33" t="b">
        <v>0</v>
      </c>
      <c r="AD20" s="33" t="b">
        <v>0</v>
      </c>
      <c r="AE20" s="33" t="b">
        <v>0</v>
      </c>
      <c r="AF20" s="33" t="b">
        <v>0</v>
      </c>
      <c r="AG20" s="33" t="b">
        <v>0</v>
      </c>
      <c r="AH20" s="33" t="b">
        <v>0</v>
      </c>
      <c r="AI20" s="24"/>
      <c r="AJ20" s="34">
        <f t="shared" si="0"/>
        <v>0</v>
      </c>
      <c r="AK20" s="35" t="str">
        <f t="shared" si="1"/>
        <v/>
      </c>
    </row>
    <row r="21" spans="2:37" x14ac:dyDescent="0.2">
      <c r="B21" s="24" t="s">
        <v>22</v>
      </c>
      <c r="C21" s="24"/>
      <c r="D21" s="33" t="b">
        <v>0</v>
      </c>
      <c r="E21" s="33" t="b">
        <v>0</v>
      </c>
      <c r="F21" s="33" t="b">
        <v>0</v>
      </c>
      <c r="G21" s="33" t="b">
        <v>0</v>
      </c>
      <c r="H21" s="33" t="b">
        <v>0</v>
      </c>
      <c r="I21" s="33" t="b">
        <v>0</v>
      </c>
      <c r="J21" s="33" t="b">
        <v>0</v>
      </c>
      <c r="K21" s="33" t="b">
        <v>0</v>
      </c>
      <c r="L21" s="33" t="b">
        <v>0</v>
      </c>
      <c r="M21" s="33" t="b">
        <v>0</v>
      </c>
      <c r="N21" s="33" t="b">
        <v>0</v>
      </c>
      <c r="O21" s="33" t="b">
        <v>0</v>
      </c>
      <c r="P21" s="33" t="b">
        <v>0</v>
      </c>
      <c r="Q21" s="33" t="b">
        <v>0</v>
      </c>
      <c r="R21" s="33" t="b">
        <v>0</v>
      </c>
      <c r="S21" s="33" t="b">
        <v>0</v>
      </c>
      <c r="T21" s="33" t="b">
        <v>0</v>
      </c>
      <c r="U21" s="33" t="b">
        <v>0</v>
      </c>
      <c r="V21" s="33" t="b">
        <v>0</v>
      </c>
      <c r="W21" s="33" t="b">
        <v>0</v>
      </c>
      <c r="X21" s="33" t="b">
        <v>0</v>
      </c>
      <c r="Y21" s="33" t="b">
        <v>0</v>
      </c>
      <c r="Z21" s="33" t="b">
        <v>0</v>
      </c>
      <c r="AA21" s="33" t="b">
        <v>0</v>
      </c>
      <c r="AB21" s="33" t="b">
        <v>0</v>
      </c>
      <c r="AC21" s="33" t="b">
        <v>0</v>
      </c>
      <c r="AD21" s="33" t="b">
        <v>0</v>
      </c>
      <c r="AE21" s="33" t="b">
        <v>0</v>
      </c>
      <c r="AF21" s="33" t="b">
        <v>0</v>
      </c>
      <c r="AG21" s="33" t="b">
        <v>0</v>
      </c>
      <c r="AH21" s="33" t="b">
        <v>0</v>
      </c>
      <c r="AI21" s="24"/>
      <c r="AJ21" s="34">
        <f t="shared" si="0"/>
        <v>0</v>
      </c>
      <c r="AK21" s="35" t="str">
        <f t="shared" si="1"/>
        <v/>
      </c>
    </row>
    <row r="22" spans="2:37" x14ac:dyDescent="0.2">
      <c r="B22" s="24" t="s">
        <v>5</v>
      </c>
      <c r="C22" s="24"/>
      <c r="D22" s="33" t="b">
        <v>0</v>
      </c>
      <c r="E22" s="33" t="b">
        <v>0</v>
      </c>
      <c r="F22" s="33" t="b">
        <v>0</v>
      </c>
      <c r="G22" s="33" t="b">
        <v>0</v>
      </c>
      <c r="H22" s="33" t="b">
        <v>0</v>
      </c>
      <c r="I22" s="33" t="b">
        <v>0</v>
      </c>
      <c r="J22" s="33" t="b">
        <v>0</v>
      </c>
      <c r="K22" s="33" t="b">
        <v>0</v>
      </c>
      <c r="L22" s="33" t="b">
        <v>0</v>
      </c>
      <c r="M22" s="33" t="b">
        <v>0</v>
      </c>
      <c r="N22" s="33" t="b">
        <v>0</v>
      </c>
      <c r="O22" s="33" t="b">
        <v>0</v>
      </c>
      <c r="P22" s="33" t="b">
        <v>0</v>
      </c>
      <c r="Q22" s="33" t="b">
        <v>0</v>
      </c>
      <c r="R22" s="33" t="b">
        <v>0</v>
      </c>
      <c r="S22" s="33" t="b">
        <v>0</v>
      </c>
      <c r="T22" s="33" t="b">
        <v>0</v>
      </c>
      <c r="U22" s="33" t="b">
        <v>0</v>
      </c>
      <c r="V22" s="33" t="b">
        <v>0</v>
      </c>
      <c r="W22" s="33" t="b">
        <v>0</v>
      </c>
      <c r="X22" s="33" t="b">
        <v>0</v>
      </c>
      <c r="Y22" s="33" t="b">
        <v>0</v>
      </c>
      <c r="Z22" s="33" t="b">
        <v>0</v>
      </c>
      <c r="AA22" s="33" t="b">
        <v>0</v>
      </c>
      <c r="AB22" s="33" t="b">
        <v>0</v>
      </c>
      <c r="AC22" s="33" t="b">
        <v>0</v>
      </c>
      <c r="AD22" s="33" t="b">
        <v>0</v>
      </c>
      <c r="AE22" s="33" t="b">
        <v>0</v>
      </c>
      <c r="AF22" s="33" t="b">
        <v>0</v>
      </c>
      <c r="AG22" s="33" t="b">
        <v>0</v>
      </c>
      <c r="AH22" s="33" t="b">
        <v>0</v>
      </c>
      <c r="AI22" s="24"/>
      <c r="AJ22" s="34">
        <f t="shared" si="0"/>
        <v>0</v>
      </c>
      <c r="AK22" s="35" t="str">
        <f t="shared" si="1"/>
        <v/>
      </c>
    </row>
    <row r="23" spans="2:37" x14ac:dyDescent="0.2">
      <c r="B23" s="24" t="s">
        <v>23</v>
      </c>
      <c r="C23" s="24"/>
      <c r="D23" s="33" t="b">
        <v>0</v>
      </c>
      <c r="E23" s="33" t="b">
        <v>0</v>
      </c>
      <c r="F23" s="33" t="b">
        <v>0</v>
      </c>
      <c r="G23" s="33" t="b">
        <v>0</v>
      </c>
      <c r="H23" s="33" t="b">
        <v>0</v>
      </c>
      <c r="I23" s="33" t="b">
        <v>0</v>
      </c>
      <c r="J23" s="33" t="b">
        <v>0</v>
      </c>
      <c r="K23" s="33" t="b">
        <v>0</v>
      </c>
      <c r="L23" s="33" t="b">
        <v>0</v>
      </c>
      <c r="M23" s="33" t="b">
        <v>0</v>
      </c>
      <c r="N23" s="33" t="b">
        <v>0</v>
      </c>
      <c r="O23" s="33" t="b">
        <v>0</v>
      </c>
      <c r="P23" s="33" t="b">
        <v>0</v>
      </c>
      <c r="Q23" s="33" t="b">
        <v>0</v>
      </c>
      <c r="R23" s="33" t="b">
        <v>0</v>
      </c>
      <c r="S23" s="33" t="b">
        <v>0</v>
      </c>
      <c r="T23" s="33" t="b">
        <v>0</v>
      </c>
      <c r="U23" s="33" t="b">
        <v>0</v>
      </c>
      <c r="V23" s="33" t="b">
        <v>0</v>
      </c>
      <c r="W23" s="33" t="b">
        <v>0</v>
      </c>
      <c r="X23" s="33" t="b">
        <v>0</v>
      </c>
      <c r="Y23" s="33" t="b">
        <v>0</v>
      </c>
      <c r="Z23" s="33" t="b">
        <v>0</v>
      </c>
      <c r="AA23" s="33" t="b">
        <v>0</v>
      </c>
      <c r="AB23" s="33" t="b">
        <v>0</v>
      </c>
      <c r="AC23" s="33" t="b">
        <v>0</v>
      </c>
      <c r="AD23" s="33" t="b">
        <v>0</v>
      </c>
      <c r="AE23" s="33" t="b">
        <v>0</v>
      </c>
      <c r="AF23" s="33" t="b">
        <v>0</v>
      </c>
      <c r="AG23" s="33" t="b">
        <v>0</v>
      </c>
      <c r="AH23" s="33" t="b">
        <v>0</v>
      </c>
      <c r="AI23" s="24"/>
      <c r="AJ23" s="34">
        <f t="shared" si="0"/>
        <v>0</v>
      </c>
      <c r="AK23" s="35" t="str">
        <f t="shared" si="1"/>
        <v/>
      </c>
    </row>
    <row r="24" spans="2:37" x14ac:dyDescent="0.2">
      <c r="B24" s="24" t="s">
        <v>24</v>
      </c>
      <c r="C24" s="24"/>
      <c r="D24" s="33" t="b">
        <v>0</v>
      </c>
      <c r="E24" s="33" t="b">
        <v>0</v>
      </c>
      <c r="F24" s="33" t="b">
        <v>0</v>
      </c>
      <c r="G24" s="33" t="b">
        <v>0</v>
      </c>
      <c r="H24" s="33" t="b">
        <v>0</v>
      </c>
      <c r="I24" s="33" t="b">
        <v>0</v>
      </c>
      <c r="J24" s="33" t="b">
        <v>0</v>
      </c>
      <c r="K24" s="33" t="b">
        <v>0</v>
      </c>
      <c r="L24" s="33" t="b">
        <v>0</v>
      </c>
      <c r="M24" s="33" t="b">
        <v>0</v>
      </c>
      <c r="N24" s="33" t="b">
        <v>0</v>
      </c>
      <c r="O24" s="33" t="b">
        <v>0</v>
      </c>
      <c r="P24" s="33" t="b">
        <v>0</v>
      </c>
      <c r="Q24" s="33" t="b">
        <v>0</v>
      </c>
      <c r="R24" s="33" t="b">
        <v>0</v>
      </c>
      <c r="S24" s="33" t="b">
        <v>0</v>
      </c>
      <c r="T24" s="33" t="b">
        <v>0</v>
      </c>
      <c r="U24" s="33" t="b">
        <v>0</v>
      </c>
      <c r="V24" s="33" t="b">
        <v>0</v>
      </c>
      <c r="W24" s="33" t="b">
        <v>0</v>
      </c>
      <c r="X24" s="33" t="b">
        <v>0</v>
      </c>
      <c r="Y24" s="33" t="b">
        <v>0</v>
      </c>
      <c r="Z24" s="33" t="b">
        <v>0</v>
      </c>
      <c r="AA24" s="33" t="b">
        <v>0</v>
      </c>
      <c r="AB24" s="33" t="b">
        <v>0</v>
      </c>
      <c r="AC24" s="33" t="b">
        <v>0</v>
      </c>
      <c r="AD24" s="33" t="b">
        <v>0</v>
      </c>
      <c r="AE24" s="33" t="b">
        <v>0</v>
      </c>
      <c r="AF24" s="33" t="b">
        <v>0</v>
      </c>
      <c r="AG24" s="33" t="b">
        <v>0</v>
      </c>
      <c r="AH24" s="33" t="b">
        <v>0</v>
      </c>
      <c r="AI24" s="24"/>
      <c r="AJ24" s="34">
        <f t="shared" si="0"/>
        <v>0</v>
      </c>
      <c r="AK24" s="35" t="str">
        <f t="shared" si="1"/>
        <v/>
      </c>
    </row>
    <row r="25" spans="2:37" s="13" customFormat="1" x14ac:dyDescent="0.2"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3" t="s">
        <v>37</v>
      </c>
    </row>
    <row r="26" spans="2:37" s="10" customFormat="1" x14ac:dyDescent="0.2">
      <c r="B26" s="10" t="s">
        <v>6</v>
      </c>
      <c r="D26" s="11">
        <f t="shared" ref="D26:AH26" si="2">COUNTIF(D15:D24,"TRUE")</f>
        <v>0</v>
      </c>
      <c r="E26" s="11">
        <f t="shared" si="2"/>
        <v>0</v>
      </c>
      <c r="F26" s="11">
        <f t="shared" si="2"/>
        <v>0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0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1">
        <f t="shared" si="2"/>
        <v>0</v>
      </c>
      <c r="O26" s="11">
        <f t="shared" si="2"/>
        <v>0</v>
      </c>
      <c r="P26" s="11">
        <f t="shared" si="2"/>
        <v>0</v>
      </c>
      <c r="Q26" s="11">
        <f t="shared" si="2"/>
        <v>0</v>
      </c>
      <c r="R26" s="11">
        <f t="shared" si="2"/>
        <v>0</v>
      </c>
      <c r="S26" s="11">
        <f t="shared" si="2"/>
        <v>0</v>
      </c>
      <c r="T26" s="11">
        <f t="shared" si="2"/>
        <v>0</v>
      </c>
      <c r="U26" s="11">
        <f t="shared" si="2"/>
        <v>0</v>
      </c>
      <c r="V26" s="11">
        <f t="shared" si="2"/>
        <v>0</v>
      </c>
      <c r="W26" s="11">
        <f t="shared" si="2"/>
        <v>0</v>
      </c>
      <c r="X26" s="11">
        <f t="shared" si="2"/>
        <v>0</v>
      </c>
      <c r="Y26" s="11">
        <f t="shared" si="2"/>
        <v>0</v>
      </c>
      <c r="Z26" s="11">
        <f t="shared" si="2"/>
        <v>0</v>
      </c>
      <c r="AA26" s="11">
        <f t="shared" si="2"/>
        <v>0</v>
      </c>
      <c r="AB26" s="11">
        <f t="shared" si="2"/>
        <v>0</v>
      </c>
      <c r="AC26" s="11">
        <f t="shared" si="2"/>
        <v>0</v>
      </c>
      <c r="AD26" s="11">
        <f t="shared" si="2"/>
        <v>0</v>
      </c>
      <c r="AE26" s="11">
        <f t="shared" si="2"/>
        <v>0</v>
      </c>
      <c r="AF26" s="11">
        <f t="shared" si="2"/>
        <v>0</v>
      </c>
      <c r="AG26" s="11">
        <f t="shared" si="2"/>
        <v>0</v>
      </c>
      <c r="AH26" s="11">
        <f t="shared" si="2"/>
        <v>0</v>
      </c>
    </row>
    <row r="27" spans="2:37" s="10" customFormat="1" x14ac:dyDescent="0.2">
      <c r="B27" s="10" t="s">
        <v>7</v>
      </c>
      <c r="D27" s="12">
        <f t="shared" ref="D27:AH27" si="3">D26/COUNTA(D15:D24)</f>
        <v>0</v>
      </c>
      <c r="E27" s="12">
        <f t="shared" si="3"/>
        <v>0</v>
      </c>
      <c r="F27" s="12">
        <f t="shared" si="3"/>
        <v>0</v>
      </c>
      <c r="G27" s="12">
        <f t="shared" si="3"/>
        <v>0</v>
      </c>
      <c r="H27" s="12">
        <f t="shared" si="3"/>
        <v>0</v>
      </c>
      <c r="I27" s="12">
        <f t="shared" si="3"/>
        <v>0</v>
      </c>
      <c r="J27" s="12">
        <f t="shared" si="3"/>
        <v>0</v>
      </c>
      <c r="K27" s="12">
        <f t="shared" si="3"/>
        <v>0</v>
      </c>
      <c r="L27" s="12">
        <f t="shared" si="3"/>
        <v>0</v>
      </c>
      <c r="M27" s="12">
        <f t="shared" si="3"/>
        <v>0</v>
      </c>
      <c r="N27" s="12">
        <f t="shared" si="3"/>
        <v>0</v>
      </c>
      <c r="O27" s="12">
        <f t="shared" si="3"/>
        <v>0</v>
      </c>
      <c r="P27" s="12">
        <f t="shared" si="3"/>
        <v>0</v>
      </c>
      <c r="Q27" s="12">
        <f t="shared" si="3"/>
        <v>0</v>
      </c>
      <c r="R27" s="12">
        <f t="shared" si="3"/>
        <v>0</v>
      </c>
      <c r="S27" s="12">
        <f t="shared" si="3"/>
        <v>0</v>
      </c>
      <c r="T27" s="12">
        <f t="shared" si="3"/>
        <v>0</v>
      </c>
      <c r="U27" s="12">
        <f t="shared" si="3"/>
        <v>0</v>
      </c>
      <c r="V27" s="12">
        <f t="shared" si="3"/>
        <v>0</v>
      </c>
      <c r="W27" s="12">
        <f t="shared" si="3"/>
        <v>0</v>
      </c>
      <c r="X27" s="12">
        <f t="shared" si="3"/>
        <v>0</v>
      </c>
      <c r="Y27" s="12">
        <f t="shared" si="3"/>
        <v>0</v>
      </c>
      <c r="Z27" s="12">
        <f t="shared" si="3"/>
        <v>0</v>
      </c>
      <c r="AA27" s="12">
        <f t="shared" si="3"/>
        <v>0</v>
      </c>
      <c r="AB27" s="12">
        <f t="shared" si="3"/>
        <v>0</v>
      </c>
      <c r="AC27" s="12">
        <f t="shared" si="3"/>
        <v>0</v>
      </c>
      <c r="AD27" s="12">
        <f t="shared" si="3"/>
        <v>0</v>
      </c>
      <c r="AE27" s="12">
        <f t="shared" si="3"/>
        <v>0</v>
      </c>
      <c r="AF27" s="12">
        <f t="shared" si="3"/>
        <v>0</v>
      </c>
      <c r="AG27" s="12">
        <f t="shared" si="3"/>
        <v>0</v>
      </c>
      <c r="AH27" s="12">
        <f t="shared" si="3"/>
        <v>0</v>
      </c>
    </row>
    <row r="28" spans="2:37" s="13" customFormat="1" hidden="1" x14ac:dyDescent="0.2"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2:37" s="15" customFormat="1" hidden="1" x14ac:dyDescent="0.2"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 t="s">
        <v>8</v>
      </c>
      <c r="Y29" s="8"/>
    </row>
  </sheetData>
  <sheetProtection algorithmName="SHA-512" hashValue="HrEUkbofR6kBkHe6lmrh6sNVRL8jlYtIWv0iqOGuPBzgwX1h7XjNoD6svIkoT4u/Au0Bq2RdceOh2E149DBqwg==" saltValue="YqSaUivRtJkzBy4w9hZ/uQ==" spinCount="100000" sheet="1" objects="1" scenarios="1"/>
  <mergeCells count="8">
    <mergeCell ref="AJ12:AJ14"/>
    <mergeCell ref="AK12:AK14"/>
    <mergeCell ref="B12:B14"/>
    <mergeCell ref="D12:J12"/>
    <mergeCell ref="K12:Q12"/>
    <mergeCell ref="R12:X12"/>
    <mergeCell ref="Y12:AE12"/>
    <mergeCell ref="AF12:AH12"/>
  </mergeCells>
  <conditionalFormatting sqref="AC5:AC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{D7B098C8-6D89-E940-9DD3-8EE67252A45D}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B098C8-6D89-E940-9DD3-8EE67252A4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AC5:AC7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B784-EA1D-7449-97B3-A14740015FC6}">
  <dimension ref="A1:XFC29"/>
  <sheetViews>
    <sheetView tabSelected="1" topLeftCell="B1" workbookViewId="0">
      <selection activeCell="G15" sqref="G15:G23"/>
    </sheetView>
  </sheetViews>
  <sheetFormatPr baseColWidth="10" defaultColWidth="0" defaultRowHeight="16" customHeight="1" zeroHeight="1" x14ac:dyDescent="0.2"/>
  <cols>
    <col min="1" max="1" width="11.1640625" hidden="1"/>
    <col min="2" max="2" width="31" customWidth="1"/>
    <col min="3" max="3" width="0.1640625" hidden="1"/>
    <col min="4" max="4" width="4.83203125" customWidth="1"/>
    <col min="5" max="5" width="3.6640625" style="1" customWidth="1"/>
    <col min="6" max="6" width="4.6640625" style="1" customWidth="1"/>
    <col min="7" max="7" width="4.1640625" style="1" customWidth="1"/>
    <col min="8" max="8" width="5.1640625" style="1" customWidth="1"/>
    <col min="9" max="9" width="5.5" style="1" customWidth="1"/>
    <col min="10" max="11" width="6.1640625" style="1" customWidth="1"/>
    <col min="12" max="12" width="6.33203125" style="1" customWidth="1"/>
    <col min="13" max="17" width="6.1640625" style="1" customWidth="1"/>
    <col min="18" max="18" width="5" style="1" customWidth="1"/>
    <col min="19" max="19" width="6.1640625" style="1" customWidth="1"/>
    <col min="20" max="20" width="6.5" style="1" customWidth="1"/>
    <col min="21" max="22" width="6.1640625" style="1" customWidth="1"/>
    <col min="23" max="24" width="5.83203125" style="1" customWidth="1"/>
    <col min="25" max="25" width="8" style="1" customWidth="1"/>
    <col min="26" max="26" width="5.83203125" customWidth="1"/>
    <col min="27" max="27" width="6.83203125" customWidth="1"/>
    <col min="28" max="28" width="5.6640625" customWidth="1"/>
    <col min="29" max="29" width="6" customWidth="1"/>
    <col min="30" max="30" width="7.33203125" customWidth="1"/>
    <col min="31" max="31" width="6.83203125" customWidth="1"/>
    <col min="32" max="32" width="7.1640625" customWidth="1"/>
    <col min="33" max="33" width="7.6640625" customWidth="1"/>
    <col min="34" max="34" width="8" customWidth="1"/>
    <col min="35" max="35" width="11.33203125" hidden="1"/>
    <col min="36" max="36" width="16.33203125" customWidth="1"/>
    <col min="37" max="37" width="20.5" customWidth="1"/>
    <col min="38" max="16377" width="11.1640625" hidden="1"/>
    <col min="16378" max="16378" width="14" hidden="1"/>
    <col min="16379" max="16379" width="14.5" hidden="1"/>
    <col min="16380" max="16382" width="0.1640625" hidden="1"/>
    <col min="16383" max="16383" width="20" hidden="1"/>
    <col min="16384" max="16384" width="31.1640625" hidden="1"/>
  </cols>
  <sheetData>
    <row r="1" spans="2:37" x14ac:dyDescent="0.2"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2:37" x14ac:dyDescent="0.2">
      <c r="B2" s="9" t="s">
        <v>27</v>
      </c>
      <c r="C2" s="5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3"/>
      <c r="AA2" s="3"/>
      <c r="AB2" s="3"/>
      <c r="AC2" s="3"/>
      <c r="AD2" s="3"/>
      <c r="AE2" s="3"/>
      <c r="AF2" s="3"/>
      <c r="AG2" s="3"/>
      <c r="AH2" s="3"/>
      <c r="AI2" s="3"/>
      <c r="AJ2" s="4"/>
      <c r="AK2" s="36" t="s">
        <v>30</v>
      </c>
    </row>
    <row r="3" spans="2:37" x14ac:dyDescent="0.2">
      <c r="B3" s="6">
        <v>46023</v>
      </c>
      <c r="C3" s="6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4"/>
      <c r="AK3" s="7">
        <f>COUNTIF(D27:AH27,"100%")</f>
        <v>0</v>
      </c>
    </row>
    <row r="4" spans="2:37" x14ac:dyDescent="0.2">
      <c r="B4" s="40" t="s">
        <v>0</v>
      </c>
      <c r="C4" s="5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3"/>
      <c r="AA4" s="3"/>
      <c r="AB4" s="3"/>
      <c r="AC4" s="3"/>
      <c r="AD4" s="3"/>
      <c r="AE4" s="3"/>
      <c r="AF4" s="3"/>
      <c r="AG4" s="3"/>
      <c r="AH4" s="3"/>
      <c r="AI4" s="3"/>
      <c r="AJ4" s="4"/>
      <c r="AK4" s="37" t="s">
        <v>31</v>
      </c>
    </row>
    <row r="5" spans="2:37" x14ac:dyDescent="0.2">
      <c r="B5" s="4" t="str">
        <f>_xlfn.XLOOKUP(MAX(AJ15:AJ24),AJ15:AJ24,B15:B24)</f>
        <v>Daily Exercise</v>
      </c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3"/>
      <c r="AA5" s="3"/>
      <c r="AB5" s="3"/>
      <c r="AC5" s="3"/>
      <c r="AD5" s="3"/>
      <c r="AE5" s="3"/>
      <c r="AF5" s="3"/>
      <c r="AG5" s="3"/>
      <c r="AH5" s="3"/>
      <c r="AI5" s="3"/>
      <c r="AJ5" s="4"/>
      <c r="AK5" s="7">
        <f>COUNTIF(D27:AH27,"&gt;50%")</f>
        <v>0</v>
      </c>
    </row>
    <row r="6" spans="2:37" x14ac:dyDescent="0.2">
      <c r="B6" s="4" t="s">
        <v>22</v>
      </c>
      <c r="C6" s="4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3"/>
      <c r="AA6" s="3"/>
      <c r="AB6" s="3"/>
      <c r="AC6" s="3"/>
      <c r="AD6" s="3"/>
      <c r="AE6" s="3"/>
      <c r="AF6" s="3"/>
      <c r="AG6" s="3"/>
      <c r="AH6" s="3"/>
      <c r="AI6" s="3"/>
      <c r="AJ6" s="4"/>
      <c r="AK6" s="3"/>
    </row>
    <row r="7" spans="2:37" x14ac:dyDescent="0.2">
      <c r="B7" s="39" t="s">
        <v>1</v>
      </c>
      <c r="C7" s="5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4"/>
      <c r="AK7" s="38" t="s">
        <v>32</v>
      </c>
    </row>
    <row r="8" spans="2:37" x14ac:dyDescent="0.2">
      <c r="B8" s="4" t="s">
        <v>34</v>
      </c>
      <c r="C8" s="4"/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3"/>
      <c r="AA8" s="3"/>
      <c r="AB8" s="3"/>
      <c r="AC8" s="3"/>
      <c r="AD8" s="3"/>
      <c r="AE8" s="3"/>
      <c r="AF8" s="3"/>
      <c r="AG8" s="3"/>
      <c r="AH8" s="3"/>
      <c r="AI8" s="3"/>
      <c r="AJ8" s="4"/>
      <c r="AK8" s="7">
        <f>COUNTIF(D27:AH27,"0%")</f>
        <v>31</v>
      </c>
    </row>
    <row r="9" spans="2:37" x14ac:dyDescent="0.2">
      <c r="B9" s="4" t="s">
        <v>35</v>
      </c>
      <c r="C9" s="4"/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3"/>
      <c r="AA9" s="3"/>
      <c r="AB9" s="3"/>
      <c r="AC9" s="3"/>
      <c r="AD9" s="3"/>
      <c r="AE9" s="3"/>
      <c r="AF9" s="3"/>
      <c r="AG9" s="3"/>
      <c r="AH9" s="3"/>
      <c r="AI9" s="3"/>
      <c r="AJ9" s="4"/>
      <c r="AK9" s="7"/>
    </row>
    <row r="10" spans="2:37" x14ac:dyDescent="0.2">
      <c r="B10" s="4" t="s">
        <v>36</v>
      </c>
      <c r="C10" s="4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4"/>
      <c r="AK10" s="7"/>
    </row>
    <row r="11" spans="2:37" x14ac:dyDescent="0.2">
      <c r="B11" s="4"/>
      <c r="C11" s="4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4"/>
      <c r="AK11" s="7"/>
    </row>
    <row r="12" spans="2:37" ht="16" customHeight="1" x14ac:dyDescent="0.2">
      <c r="B12" s="45" t="s">
        <v>25</v>
      </c>
      <c r="C12" s="18"/>
      <c r="D12" s="53" t="s">
        <v>26</v>
      </c>
      <c r="E12" s="53"/>
      <c r="F12" s="53"/>
      <c r="G12" s="53"/>
      <c r="H12" s="53"/>
      <c r="I12" s="53"/>
      <c r="J12" s="53"/>
      <c r="K12" s="54" t="s">
        <v>2</v>
      </c>
      <c r="L12" s="54"/>
      <c r="M12" s="54"/>
      <c r="N12" s="54"/>
      <c r="O12" s="54"/>
      <c r="P12" s="54"/>
      <c r="Q12" s="54"/>
      <c r="R12" s="55" t="s">
        <v>3</v>
      </c>
      <c r="S12" s="55"/>
      <c r="T12" s="55"/>
      <c r="U12" s="55"/>
      <c r="V12" s="55"/>
      <c r="W12" s="55"/>
      <c r="X12" s="55"/>
      <c r="Y12" s="56" t="s">
        <v>9</v>
      </c>
      <c r="Z12" s="56"/>
      <c r="AA12" s="56"/>
      <c r="AB12" s="56"/>
      <c r="AC12" s="56"/>
      <c r="AD12" s="56"/>
      <c r="AE12" s="56"/>
      <c r="AF12" s="57" t="s">
        <v>17</v>
      </c>
      <c r="AG12" s="57"/>
      <c r="AH12" s="57"/>
      <c r="AI12" s="24"/>
      <c r="AJ12" s="47" t="s">
        <v>28</v>
      </c>
      <c r="AK12" s="50" t="s">
        <v>29</v>
      </c>
    </row>
    <row r="13" spans="2:37" s="2" customFormat="1" x14ac:dyDescent="0.2">
      <c r="B13" s="46"/>
      <c r="C13" s="18"/>
      <c r="D13" s="27" t="s">
        <v>11</v>
      </c>
      <c r="E13" s="27" t="s">
        <v>12</v>
      </c>
      <c r="F13" s="27" t="s">
        <v>13</v>
      </c>
      <c r="G13" s="27" t="s">
        <v>14</v>
      </c>
      <c r="H13" s="27" t="s">
        <v>15</v>
      </c>
      <c r="I13" s="27" t="s">
        <v>16</v>
      </c>
      <c r="J13" s="27" t="s">
        <v>10</v>
      </c>
      <c r="K13" s="28" t="s">
        <v>11</v>
      </c>
      <c r="L13" s="28" t="s">
        <v>12</v>
      </c>
      <c r="M13" s="28" t="s">
        <v>13</v>
      </c>
      <c r="N13" s="28" t="s">
        <v>14</v>
      </c>
      <c r="O13" s="28" t="s">
        <v>15</v>
      </c>
      <c r="P13" s="28" t="s">
        <v>16</v>
      </c>
      <c r="Q13" s="28" t="s">
        <v>10</v>
      </c>
      <c r="R13" s="29" t="s">
        <v>11</v>
      </c>
      <c r="S13" s="29" t="s">
        <v>12</v>
      </c>
      <c r="T13" s="29" t="s">
        <v>13</v>
      </c>
      <c r="U13" s="29" t="s">
        <v>14</v>
      </c>
      <c r="V13" s="29" t="s">
        <v>15</v>
      </c>
      <c r="W13" s="29" t="s">
        <v>16</v>
      </c>
      <c r="X13" s="29" t="s">
        <v>10</v>
      </c>
      <c r="Y13" s="30" t="s">
        <v>11</v>
      </c>
      <c r="Z13" s="30" t="s">
        <v>12</v>
      </c>
      <c r="AA13" s="30" t="s">
        <v>13</v>
      </c>
      <c r="AB13" s="30" t="s">
        <v>14</v>
      </c>
      <c r="AC13" s="30" t="s">
        <v>15</v>
      </c>
      <c r="AD13" s="30" t="s">
        <v>16</v>
      </c>
      <c r="AE13" s="30" t="s">
        <v>10</v>
      </c>
      <c r="AF13" s="31" t="s">
        <v>11</v>
      </c>
      <c r="AG13" s="31" t="s">
        <v>12</v>
      </c>
      <c r="AH13" s="31" t="s">
        <v>13</v>
      </c>
      <c r="AI13" s="26"/>
      <c r="AJ13" s="48"/>
      <c r="AK13" s="51"/>
    </row>
    <row r="14" spans="2:37" s="2" customFormat="1" x14ac:dyDescent="0.2">
      <c r="B14" s="46"/>
      <c r="C14" s="18"/>
      <c r="D14" s="27" cm="1">
        <f t="array" ref="D14:X14">_xlfn.SEQUENCE(,21)</f>
        <v>1</v>
      </c>
      <c r="E14" s="27">
        <v>2</v>
      </c>
      <c r="F14" s="27">
        <v>3</v>
      </c>
      <c r="G14" s="27">
        <v>4</v>
      </c>
      <c r="H14" s="27">
        <v>5</v>
      </c>
      <c r="I14" s="27">
        <v>6</v>
      </c>
      <c r="J14" s="27">
        <v>7</v>
      </c>
      <c r="K14" s="28">
        <v>8</v>
      </c>
      <c r="L14" s="28">
        <v>9</v>
      </c>
      <c r="M14" s="28">
        <v>10</v>
      </c>
      <c r="N14" s="28">
        <v>11</v>
      </c>
      <c r="O14" s="28">
        <v>12</v>
      </c>
      <c r="P14" s="28">
        <v>13</v>
      </c>
      <c r="Q14" s="28">
        <v>14</v>
      </c>
      <c r="R14" s="29">
        <v>15</v>
      </c>
      <c r="S14" s="29">
        <v>16</v>
      </c>
      <c r="T14" s="29">
        <v>17</v>
      </c>
      <c r="U14" s="29">
        <v>18</v>
      </c>
      <c r="V14" s="29">
        <v>19</v>
      </c>
      <c r="W14" s="29">
        <v>20</v>
      </c>
      <c r="X14" s="29">
        <v>21</v>
      </c>
      <c r="Y14" s="30">
        <v>22</v>
      </c>
      <c r="Z14" s="30">
        <v>23</v>
      </c>
      <c r="AA14" s="30">
        <v>24</v>
      </c>
      <c r="AB14" s="30">
        <v>25</v>
      </c>
      <c r="AC14" s="30">
        <v>26</v>
      </c>
      <c r="AD14" s="30">
        <v>27</v>
      </c>
      <c r="AE14" s="30">
        <v>28</v>
      </c>
      <c r="AF14" s="31">
        <v>29</v>
      </c>
      <c r="AG14" s="32">
        <v>30</v>
      </c>
      <c r="AH14" s="32">
        <v>31</v>
      </c>
      <c r="AI14" s="26"/>
      <c r="AJ14" s="49"/>
      <c r="AK14" s="52"/>
    </row>
    <row r="15" spans="2:37" x14ac:dyDescent="0.2">
      <c r="B15" s="24" t="s">
        <v>4</v>
      </c>
      <c r="C15" s="24"/>
      <c r="D15" s="33" t="b">
        <v>0</v>
      </c>
      <c r="E15" s="33" t="b">
        <v>0</v>
      </c>
      <c r="F15" s="33" t="b">
        <v>0</v>
      </c>
      <c r="G15" s="33" t="b">
        <v>0</v>
      </c>
      <c r="H15" s="33" t="b">
        <v>0</v>
      </c>
      <c r="I15" s="33" t="b">
        <v>0</v>
      </c>
      <c r="J15" s="33" t="b">
        <v>0</v>
      </c>
      <c r="K15" s="33" t="b">
        <v>0</v>
      </c>
      <c r="L15" s="33" t="b">
        <v>0</v>
      </c>
      <c r="M15" s="33" t="b">
        <v>0</v>
      </c>
      <c r="N15" s="33" t="b">
        <v>0</v>
      </c>
      <c r="O15" s="33" t="b">
        <v>0</v>
      </c>
      <c r="P15" s="33" t="b">
        <v>0</v>
      </c>
      <c r="Q15" s="33" t="b">
        <v>0</v>
      </c>
      <c r="R15" s="33" t="b">
        <v>0</v>
      </c>
      <c r="S15" s="33" t="b">
        <v>0</v>
      </c>
      <c r="T15" s="33" t="b">
        <v>0</v>
      </c>
      <c r="U15" s="33" t="b">
        <v>0</v>
      </c>
      <c r="V15" s="33" t="b">
        <v>0</v>
      </c>
      <c r="W15" s="33" t="b">
        <v>0</v>
      </c>
      <c r="X15" s="33" t="b">
        <v>0</v>
      </c>
      <c r="Y15" s="33" t="b">
        <v>0</v>
      </c>
      <c r="Z15" s="33" t="b">
        <v>0</v>
      </c>
      <c r="AA15" s="33" t="b">
        <v>0</v>
      </c>
      <c r="AB15" s="33" t="b">
        <v>0</v>
      </c>
      <c r="AC15" s="33" t="b">
        <v>0</v>
      </c>
      <c r="AD15" s="33" t="b">
        <v>0</v>
      </c>
      <c r="AE15" s="33" t="b">
        <v>0</v>
      </c>
      <c r="AF15" s="33" t="b">
        <v>0</v>
      </c>
      <c r="AG15" s="33" t="b">
        <v>0</v>
      </c>
      <c r="AH15" s="33" t="b">
        <v>0</v>
      </c>
      <c r="AI15" s="24"/>
      <c r="AJ15" s="34">
        <f>COUNTIF(D15:AH15,"TRUE")</f>
        <v>0</v>
      </c>
      <c r="AK15" s="35" t="str">
        <f t="shared" ref="AK15:AK24" si="0">REPT("|",AJ15*4)</f>
        <v/>
      </c>
    </row>
    <row r="16" spans="2:37" x14ac:dyDescent="0.2">
      <c r="B16" s="24" t="s">
        <v>18</v>
      </c>
      <c r="C16" s="24"/>
      <c r="D16" s="33" t="b">
        <v>0</v>
      </c>
      <c r="E16" s="33" t="b">
        <v>0</v>
      </c>
      <c r="F16" s="33" t="b">
        <v>0</v>
      </c>
      <c r="G16" s="33" t="b">
        <v>0</v>
      </c>
      <c r="H16" s="33" t="b">
        <v>0</v>
      </c>
      <c r="I16" s="33" t="b">
        <v>0</v>
      </c>
      <c r="J16" s="33" t="b">
        <v>0</v>
      </c>
      <c r="K16" s="33" t="b">
        <v>0</v>
      </c>
      <c r="L16" s="33" t="b">
        <v>0</v>
      </c>
      <c r="M16" s="33" t="b">
        <v>0</v>
      </c>
      <c r="N16" s="33" t="b">
        <v>0</v>
      </c>
      <c r="O16" s="33" t="b">
        <v>0</v>
      </c>
      <c r="P16" s="33" t="b">
        <v>0</v>
      </c>
      <c r="Q16" s="33" t="b">
        <v>0</v>
      </c>
      <c r="R16" s="33" t="b">
        <v>0</v>
      </c>
      <c r="S16" s="33" t="b">
        <v>0</v>
      </c>
      <c r="T16" s="33" t="b">
        <v>0</v>
      </c>
      <c r="U16" s="33" t="b">
        <v>0</v>
      </c>
      <c r="V16" s="33" t="b">
        <v>0</v>
      </c>
      <c r="W16" s="33" t="b">
        <v>0</v>
      </c>
      <c r="X16" s="33" t="b">
        <v>0</v>
      </c>
      <c r="Y16" s="33" t="b">
        <v>0</v>
      </c>
      <c r="Z16" s="33" t="b">
        <v>0</v>
      </c>
      <c r="AA16" s="33" t="b">
        <v>0</v>
      </c>
      <c r="AB16" s="33" t="b">
        <v>0</v>
      </c>
      <c r="AC16" s="33" t="b">
        <v>0</v>
      </c>
      <c r="AD16" s="33" t="b">
        <v>0</v>
      </c>
      <c r="AE16" s="33" t="b">
        <v>0</v>
      </c>
      <c r="AF16" s="33" t="b">
        <v>0</v>
      </c>
      <c r="AG16" s="33" t="b">
        <v>0</v>
      </c>
      <c r="AH16" s="33" t="b">
        <v>0</v>
      </c>
      <c r="AI16" s="24"/>
      <c r="AJ16" s="34">
        <f t="shared" ref="AJ16:AJ24" si="1">COUNTIF(D16:AH16,"TRUE")</f>
        <v>0</v>
      </c>
      <c r="AK16" s="35" t="str">
        <f t="shared" si="0"/>
        <v/>
      </c>
    </row>
    <row r="17" spans="2:37" x14ac:dyDescent="0.2">
      <c r="B17" s="24" t="s">
        <v>19</v>
      </c>
      <c r="C17" s="24"/>
      <c r="D17" s="33" t="b">
        <v>0</v>
      </c>
      <c r="E17" s="33" t="b">
        <v>0</v>
      </c>
      <c r="F17" s="33" t="b">
        <v>0</v>
      </c>
      <c r="G17" s="33" t="b">
        <v>0</v>
      </c>
      <c r="H17" s="33" t="b">
        <v>0</v>
      </c>
      <c r="I17" s="33" t="b">
        <v>0</v>
      </c>
      <c r="J17" s="33" t="b">
        <v>0</v>
      </c>
      <c r="K17" s="33" t="b">
        <v>0</v>
      </c>
      <c r="L17" s="33" t="b">
        <v>0</v>
      </c>
      <c r="M17" s="33" t="b">
        <v>0</v>
      </c>
      <c r="N17" s="33" t="b">
        <v>0</v>
      </c>
      <c r="O17" s="33" t="b">
        <v>0</v>
      </c>
      <c r="P17" s="33" t="b">
        <v>0</v>
      </c>
      <c r="Q17" s="33" t="b">
        <v>0</v>
      </c>
      <c r="R17" s="33" t="b">
        <v>0</v>
      </c>
      <c r="S17" s="33" t="b">
        <v>0</v>
      </c>
      <c r="T17" s="33" t="b">
        <v>0</v>
      </c>
      <c r="U17" s="33" t="b">
        <v>0</v>
      </c>
      <c r="V17" s="33" t="b">
        <v>0</v>
      </c>
      <c r="W17" s="33" t="b">
        <v>0</v>
      </c>
      <c r="X17" s="33" t="b">
        <v>0</v>
      </c>
      <c r="Y17" s="33" t="b">
        <v>0</v>
      </c>
      <c r="Z17" s="33" t="b">
        <v>0</v>
      </c>
      <c r="AA17" s="33" t="b">
        <v>0</v>
      </c>
      <c r="AB17" s="33" t="b">
        <v>0</v>
      </c>
      <c r="AC17" s="33" t="b">
        <v>0</v>
      </c>
      <c r="AD17" s="33" t="b">
        <v>0</v>
      </c>
      <c r="AE17" s="33" t="b">
        <v>0</v>
      </c>
      <c r="AF17" s="33" t="b">
        <v>0</v>
      </c>
      <c r="AG17" s="33" t="b">
        <v>0</v>
      </c>
      <c r="AH17" s="33" t="b">
        <v>0</v>
      </c>
      <c r="AI17" s="24"/>
      <c r="AJ17" s="34">
        <f t="shared" si="1"/>
        <v>0</v>
      </c>
      <c r="AK17" s="35" t="str">
        <f t="shared" si="0"/>
        <v/>
      </c>
    </row>
    <row r="18" spans="2:37" x14ac:dyDescent="0.2">
      <c r="B18" s="24" t="s">
        <v>33</v>
      </c>
      <c r="C18" s="24"/>
      <c r="D18" s="33" t="b">
        <v>0</v>
      </c>
      <c r="E18" s="33" t="b">
        <v>0</v>
      </c>
      <c r="F18" s="33" t="b">
        <v>0</v>
      </c>
      <c r="G18" s="33" t="b">
        <v>0</v>
      </c>
      <c r="H18" s="33" t="b">
        <v>0</v>
      </c>
      <c r="I18" s="33" t="b">
        <v>0</v>
      </c>
      <c r="J18" s="33" t="b">
        <v>0</v>
      </c>
      <c r="K18" s="33" t="b">
        <v>0</v>
      </c>
      <c r="L18" s="33" t="b">
        <v>0</v>
      </c>
      <c r="M18" s="33" t="b">
        <v>0</v>
      </c>
      <c r="N18" s="33" t="b">
        <v>0</v>
      </c>
      <c r="O18" s="33" t="b">
        <v>0</v>
      </c>
      <c r="P18" s="33" t="b">
        <v>0</v>
      </c>
      <c r="Q18" s="33" t="b">
        <v>0</v>
      </c>
      <c r="R18" s="33" t="b">
        <v>0</v>
      </c>
      <c r="S18" s="33" t="b">
        <v>0</v>
      </c>
      <c r="T18" s="33" t="b">
        <v>0</v>
      </c>
      <c r="U18" s="33" t="b">
        <v>0</v>
      </c>
      <c r="V18" s="33" t="b">
        <v>0</v>
      </c>
      <c r="W18" s="33" t="b">
        <v>0</v>
      </c>
      <c r="X18" s="33" t="b">
        <v>0</v>
      </c>
      <c r="Y18" s="33" t="b">
        <v>0</v>
      </c>
      <c r="Z18" s="33" t="b">
        <v>0</v>
      </c>
      <c r="AA18" s="33" t="b">
        <v>0</v>
      </c>
      <c r="AB18" s="33" t="b">
        <v>0</v>
      </c>
      <c r="AC18" s="33" t="b">
        <v>0</v>
      </c>
      <c r="AD18" s="33" t="b">
        <v>0</v>
      </c>
      <c r="AE18" s="33" t="b">
        <v>0</v>
      </c>
      <c r="AF18" s="33" t="b">
        <v>0</v>
      </c>
      <c r="AG18" s="33" t="b">
        <v>0</v>
      </c>
      <c r="AH18" s="33" t="b">
        <v>0</v>
      </c>
      <c r="AI18" s="24"/>
      <c r="AJ18" s="34">
        <f t="shared" si="1"/>
        <v>0</v>
      </c>
      <c r="AK18" s="35" t="str">
        <f t="shared" si="0"/>
        <v/>
      </c>
    </row>
    <row r="19" spans="2:37" x14ac:dyDescent="0.2">
      <c r="B19" s="24" t="s">
        <v>21</v>
      </c>
      <c r="C19" s="24"/>
      <c r="D19" s="33" t="b">
        <v>0</v>
      </c>
      <c r="E19" s="33" t="b">
        <v>0</v>
      </c>
      <c r="F19" s="33" t="b">
        <v>0</v>
      </c>
      <c r="G19" s="33" t="b">
        <v>0</v>
      </c>
      <c r="H19" s="33" t="b">
        <v>0</v>
      </c>
      <c r="I19" s="33" t="b">
        <v>0</v>
      </c>
      <c r="J19" s="33" t="b">
        <v>0</v>
      </c>
      <c r="K19" s="33" t="b">
        <v>0</v>
      </c>
      <c r="L19" s="33" t="b">
        <v>0</v>
      </c>
      <c r="M19" s="33" t="b">
        <v>0</v>
      </c>
      <c r="N19" s="33" t="b">
        <v>0</v>
      </c>
      <c r="O19" s="33" t="b">
        <v>0</v>
      </c>
      <c r="P19" s="33" t="b">
        <v>0</v>
      </c>
      <c r="Q19" s="33" t="b">
        <v>0</v>
      </c>
      <c r="R19" s="33" t="b">
        <v>0</v>
      </c>
      <c r="S19" s="33" t="b">
        <v>0</v>
      </c>
      <c r="T19" s="33" t="b">
        <v>0</v>
      </c>
      <c r="U19" s="33" t="b">
        <v>0</v>
      </c>
      <c r="V19" s="33" t="b">
        <v>0</v>
      </c>
      <c r="W19" s="33" t="b">
        <v>0</v>
      </c>
      <c r="X19" s="33" t="b">
        <v>0</v>
      </c>
      <c r="Y19" s="33" t="b">
        <v>0</v>
      </c>
      <c r="Z19" s="33" t="b">
        <v>0</v>
      </c>
      <c r="AA19" s="33" t="b">
        <v>0</v>
      </c>
      <c r="AB19" s="33" t="b">
        <v>0</v>
      </c>
      <c r="AC19" s="33" t="b">
        <v>0</v>
      </c>
      <c r="AD19" s="33" t="b">
        <v>0</v>
      </c>
      <c r="AE19" s="33" t="b">
        <v>0</v>
      </c>
      <c r="AF19" s="33" t="b">
        <v>0</v>
      </c>
      <c r="AG19" s="33" t="b">
        <v>0</v>
      </c>
      <c r="AH19" s="33" t="b">
        <v>0</v>
      </c>
      <c r="AI19" s="24"/>
      <c r="AJ19" s="34">
        <f t="shared" si="1"/>
        <v>0</v>
      </c>
      <c r="AK19" s="35" t="str">
        <f t="shared" si="0"/>
        <v/>
      </c>
    </row>
    <row r="20" spans="2:37" x14ac:dyDescent="0.2">
      <c r="B20" s="24" t="s">
        <v>20</v>
      </c>
      <c r="C20" s="24"/>
      <c r="D20" s="33" t="b">
        <v>0</v>
      </c>
      <c r="E20" s="33" t="b">
        <v>0</v>
      </c>
      <c r="F20" s="33" t="b">
        <v>0</v>
      </c>
      <c r="G20" s="33" t="b">
        <v>0</v>
      </c>
      <c r="H20" s="33" t="b">
        <v>0</v>
      </c>
      <c r="I20" s="33" t="b">
        <v>0</v>
      </c>
      <c r="J20" s="33" t="b">
        <v>0</v>
      </c>
      <c r="K20" s="33" t="b">
        <v>0</v>
      </c>
      <c r="L20" s="33" t="b">
        <v>0</v>
      </c>
      <c r="M20" s="33" t="b">
        <v>0</v>
      </c>
      <c r="N20" s="33" t="b">
        <v>0</v>
      </c>
      <c r="O20" s="33" t="b">
        <v>0</v>
      </c>
      <c r="P20" s="33" t="b">
        <v>0</v>
      </c>
      <c r="Q20" s="33" t="b">
        <v>0</v>
      </c>
      <c r="R20" s="33" t="b">
        <v>0</v>
      </c>
      <c r="S20" s="33" t="b">
        <v>0</v>
      </c>
      <c r="T20" s="33" t="b">
        <v>0</v>
      </c>
      <c r="U20" s="33" t="b">
        <v>0</v>
      </c>
      <c r="V20" s="33" t="b">
        <v>0</v>
      </c>
      <c r="W20" s="33" t="b">
        <v>0</v>
      </c>
      <c r="X20" s="33" t="b">
        <v>0</v>
      </c>
      <c r="Y20" s="33" t="b">
        <v>0</v>
      </c>
      <c r="Z20" s="33" t="b">
        <v>0</v>
      </c>
      <c r="AA20" s="33" t="b">
        <v>0</v>
      </c>
      <c r="AB20" s="33" t="b">
        <v>0</v>
      </c>
      <c r="AC20" s="33" t="b">
        <v>0</v>
      </c>
      <c r="AD20" s="33" t="b">
        <v>0</v>
      </c>
      <c r="AE20" s="33" t="b">
        <v>0</v>
      </c>
      <c r="AF20" s="33" t="b">
        <v>0</v>
      </c>
      <c r="AG20" s="33" t="b">
        <v>0</v>
      </c>
      <c r="AH20" s="33" t="b">
        <v>0</v>
      </c>
      <c r="AI20" s="24"/>
      <c r="AJ20" s="34">
        <f t="shared" si="1"/>
        <v>0</v>
      </c>
      <c r="AK20" s="35" t="str">
        <f t="shared" si="0"/>
        <v/>
      </c>
    </row>
    <row r="21" spans="2:37" x14ac:dyDescent="0.2">
      <c r="B21" s="24" t="s">
        <v>22</v>
      </c>
      <c r="C21" s="24"/>
      <c r="D21" s="33" t="b">
        <v>0</v>
      </c>
      <c r="E21" s="33" t="b">
        <v>0</v>
      </c>
      <c r="F21" s="33" t="b">
        <v>0</v>
      </c>
      <c r="G21" s="33" t="b">
        <v>0</v>
      </c>
      <c r="H21" s="33" t="b">
        <v>0</v>
      </c>
      <c r="I21" s="33" t="b">
        <v>0</v>
      </c>
      <c r="J21" s="33" t="b">
        <v>0</v>
      </c>
      <c r="K21" s="33" t="b">
        <v>0</v>
      </c>
      <c r="L21" s="33" t="b">
        <v>0</v>
      </c>
      <c r="M21" s="33" t="b">
        <v>0</v>
      </c>
      <c r="N21" s="33" t="b">
        <v>0</v>
      </c>
      <c r="O21" s="33" t="b">
        <v>0</v>
      </c>
      <c r="P21" s="33" t="b">
        <v>0</v>
      </c>
      <c r="Q21" s="33" t="b">
        <v>0</v>
      </c>
      <c r="R21" s="33" t="b">
        <v>0</v>
      </c>
      <c r="S21" s="33" t="b">
        <v>0</v>
      </c>
      <c r="T21" s="33" t="b">
        <v>0</v>
      </c>
      <c r="U21" s="33" t="b">
        <v>0</v>
      </c>
      <c r="V21" s="33" t="b">
        <v>0</v>
      </c>
      <c r="W21" s="33" t="b">
        <v>0</v>
      </c>
      <c r="X21" s="33" t="b">
        <v>0</v>
      </c>
      <c r="Y21" s="33" t="b">
        <v>0</v>
      </c>
      <c r="Z21" s="33" t="b">
        <v>0</v>
      </c>
      <c r="AA21" s="33" t="b">
        <v>0</v>
      </c>
      <c r="AB21" s="33" t="b">
        <v>0</v>
      </c>
      <c r="AC21" s="33" t="b">
        <v>0</v>
      </c>
      <c r="AD21" s="33" t="b">
        <v>0</v>
      </c>
      <c r="AE21" s="33" t="b">
        <v>0</v>
      </c>
      <c r="AF21" s="33" t="b">
        <v>0</v>
      </c>
      <c r="AG21" s="33" t="b">
        <v>0</v>
      </c>
      <c r="AH21" s="33" t="b">
        <v>0</v>
      </c>
      <c r="AI21" s="24"/>
      <c r="AJ21" s="34">
        <f t="shared" si="1"/>
        <v>0</v>
      </c>
      <c r="AK21" s="35" t="str">
        <f t="shared" si="0"/>
        <v/>
      </c>
    </row>
    <row r="22" spans="2:37" x14ac:dyDescent="0.2">
      <c r="B22" s="24" t="s">
        <v>5</v>
      </c>
      <c r="C22" s="24"/>
      <c r="D22" s="33" t="b">
        <v>0</v>
      </c>
      <c r="E22" s="33" t="b">
        <v>0</v>
      </c>
      <c r="F22" s="33" t="b">
        <v>0</v>
      </c>
      <c r="G22" s="33" t="b">
        <v>0</v>
      </c>
      <c r="H22" s="33" t="b">
        <v>0</v>
      </c>
      <c r="I22" s="33" t="b">
        <v>0</v>
      </c>
      <c r="J22" s="33" t="b">
        <v>0</v>
      </c>
      <c r="K22" s="33" t="b">
        <v>0</v>
      </c>
      <c r="L22" s="33" t="b">
        <v>0</v>
      </c>
      <c r="M22" s="33" t="b">
        <v>0</v>
      </c>
      <c r="N22" s="33" t="b">
        <v>0</v>
      </c>
      <c r="O22" s="33" t="b">
        <v>0</v>
      </c>
      <c r="P22" s="33" t="b">
        <v>0</v>
      </c>
      <c r="Q22" s="33" t="b">
        <v>0</v>
      </c>
      <c r="R22" s="33" t="b">
        <v>0</v>
      </c>
      <c r="S22" s="33" t="b">
        <v>0</v>
      </c>
      <c r="T22" s="33" t="b">
        <v>0</v>
      </c>
      <c r="U22" s="33" t="b">
        <v>0</v>
      </c>
      <c r="V22" s="33" t="b">
        <v>0</v>
      </c>
      <c r="W22" s="33" t="b">
        <v>0</v>
      </c>
      <c r="X22" s="33" t="b">
        <v>0</v>
      </c>
      <c r="Y22" s="33" t="b">
        <v>0</v>
      </c>
      <c r="Z22" s="33" t="b">
        <v>0</v>
      </c>
      <c r="AA22" s="33" t="b">
        <v>0</v>
      </c>
      <c r="AB22" s="33" t="b">
        <v>0</v>
      </c>
      <c r="AC22" s="33" t="b">
        <v>0</v>
      </c>
      <c r="AD22" s="33" t="b">
        <v>0</v>
      </c>
      <c r="AE22" s="33" t="b">
        <v>0</v>
      </c>
      <c r="AF22" s="33" t="b">
        <v>0</v>
      </c>
      <c r="AG22" s="33" t="b">
        <v>0</v>
      </c>
      <c r="AH22" s="33" t="b">
        <v>0</v>
      </c>
      <c r="AI22" s="24"/>
      <c r="AJ22" s="34">
        <f t="shared" si="1"/>
        <v>0</v>
      </c>
      <c r="AK22" s="35" t="str">
        <f t="shared" si="0"/>
        <v/>
      </c>
    </row>
    <row r="23" spans="2:37" x14ac:dyDescent="0.2">
      <c r="B23" s="24" t="s">
        <v>23</v>
      </c>
      <c r="C23" s="24"/>
      <c r="D23" s="33" t="b">
        <v>0</v>
      </c>
      <c r="E23" s="33" t="b">
        <v>0</v>
      </c>
      <c r="F23" s="33" t="b">
        <v>0</v>
      </c>
      <c r="G23" s="33" t="b">
        <v>0</v>
      </c>
      <c r="H23" s="33" t="b">
        <v>0</v>
      </c>
      <c r="I23" s="33" t="b">
        <v>0</v>
      </c>
      <c r="J23" s="33" t="b">
        <v>0</v>
      </c>
      <c r="K23" s="33" t="b">
        <v>0</v>
      </c>
      <c r="L23" s="33" t="b">
        <v>0</v>
      </c>
      <c r="M23" s="33" t="b">
        <v>0</v>
      </c>
      <c r="N23" s="33" t="b">
        <v>0</v>
      </c>
      <c r="O23" s="33" t="b">
        <v>0</v>
      </c>
      <c r="P23" s="33" t="b">
        <v>0</v>
      </c>
      <c r="Q23" s="33" t="b">
        <v>0</v>
      </c>
      <c r="R23" s="33" t="b">
        <v>0</v>
      </c>
      <c r="S23" s="33" t="b">
        <v>0</v>
      </c>
      <c r="T23" s="33" t="b">
        <v>0</v>
      </c>
      <c r="U23" s="33" t="b">
        <v>0</v>
      </c>
      <c r="V23" s="33" t="b">
        <v>0</v>
      </c>
      <c r="W23" s="33" t="b">
        <v>0</v>
      </c>
      <c r="X23" s="33" t="b">
        <v>0</v>
      </c>
      <c r="Y23" s="33" t="b">
        <v>0</v>
      </c>
      <c r="Z23" s="33" t="b">
        <v>0</v>
      </c>
      <c r="AA23" s="33" t="b">
        <v>0</v>
      </c>
      <c r="AB23" s="33" t="b">
        <v>0</v>
      </c>
      <c r="AC23" s="33" t="b">
        <v>0</v>
      </c>
      <c r="AD23" s="33" t="b">
        <v>0</v>
      </c>
      <c r="AE23" s="33" t="b">
        <v>0</v>
      </c>
      <c r="AF23" s="33" t="b">
        <v>0</v>
      </c>
      <c r="AG23" s="33" t="b">
        <v>0</v>
      </c>
      <c r="AH23" s="33" t="b">
        <v>0</v>
      </c>
      <c r="AI23" s="24"/>
      <c r="AJ23" s="34">
        <f t="shared" si="1"/>
        <v>0</v>
      </c>
      <c r="AK23" s="35" t="str">
        <f t="shared" si="0"/>
        <v/>
      </c>
    </row>
    <row r="24" spans="2:37" x14ac:dyDescent="0.2">
      <c r="B24" s="24" t="s">
        <v>24</v>
      </c>
      <c r="C24" s="24"/>
      <c r="D24" s="33" t="b">
        <v>0</v>
      </c>
      <c r="E24" s="33" t="b">
        <v>0</v>
      </c>
      <c r="F24" s="33" t="b">
        <v>0</v>
      </c>
      <c r="G24" s="33" t="b">
        <v>0</v>
      </c>
      <c r="H24" s="33" t="b">
        <v>0</v>
      </c>
      <c r="I24" s="33" t="b">
        <v>0</v>
      </c>
      <c r="J24" s="33" t="b">
        <v>0</v>
      </c>
      <c r="K24" s="33" t="b">
        <v>0</v>
      </c>
      <c r="L24" s="33" t="b">
        <v>0</v>
      </c>
      <c r="M24" s="33" t="b">
        <v>0</v>
      </c>
      <c r="N24" s="33" t="b">
        <v>0</v>
      </c>
      <c r="O24" s="33" t="b">
        <v>0</v>
      </c>
      <c r="P24" s="33" t="b">
        <v>0</v>
      </c>
      <c r="Q24" s="33" t="b">
        <v>0</v>
      </c>
      <c r="R24" s="33" t="b">
        <v>0</v>
      </c>
      <c r="S24" s="33" t="b">
        <v>0</v>
      </c>
      <c r="T24" s="33" t="b">
        <v>0</v>
      </c>
      <c r="U24" s="33" t="b">
        <v>0</v>
      </c>
      <c r="V24" s="33" t="b">
        <v>0</v>
      </c>
      <c r="W24" s="33" t="b">
        <v>0</v>
      </c>
      <c r="X24" s="33" t="b">
        <v>0</v>
      </c>
      <c r="Y24" s="33" t="b">
        <v>0</v>
      </c>
      <c r="Z24" s="33" t="b">
        <v>0</v>
      </c>
      <c r="AA24" s="33" t="b">
        <v>0</v>
      </c>
      <c r="AB24" s="33" t="b">
        <v>0</v>
      </c>
      <c r="AC24" s="33" t="b">
        <v>0</v>
      </c>
      <c r="AD24" s="33" t="b">
        <v>0</v>
      </c>
      <c r="AE24" s="33" t="b">
        <v>0</v>
      </c>
      <c r="AF24" s="33" t="b">
        <v>0</v>
      </c>
      <c r="AG24" s="33" t="b">
        <v>0</v>
      </c>
      <c r="AH24" s="33" t="b">
        <v>0</v>
      </c>
      <c r="AI24" s="24"/>
      <c r="AJ24" s="34">
        <f t="shared" si="1"/>
        <v>0</v>
      </c>
      <c r="AK24" s="35" t="str">
        <f t="shared" si="0"/>
        <v/>
      </c>
    </row>
    <row r="25" spans="2:37" s="13" customFormat="1" x14ac:dyDescent="0.2"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3" t="s">
        <v>37</v>
      </c>
    </row>
    <row r="26" spans="2:37" s="10" customFormat="1" x14ac:dyDescent="0.2">
      <c r="B26" s="10" t="s">
        <v>6</v>
      </c>
      <c r="D26" s="11">
        <f t="shared" ref="D26:AH26" si="2">COUNTIF(D15:D24,"TRUE")</f>
        <v>0</v>
      </c>
      <c r="E26" s="11">
        <f t="shared" si="2"/>
        <v>0</v>
      </c>
      <c r="F26" s="11">
        <f t="shared" si="2"/>
        <v>0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0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1">
        <f t="shared" si="2"/>
        <v>0</v>
      </c>
      <c r="O26" s="11">
        <f t="shared" si="2"/>
        <v>0</v>
      </c>
      <c r="P26" s="11">
        <f t="shared" si="2"/>
        <v>0</v>
      </c>
      <c r="Q26" s="11">
        <f t="shared" si="2"/>
        <v>0</v>
      </c>
      <c r="R26" s="11">
        <f t="shared" si="2"/>
        <v>0</v>
      </c>
      <c r="S26" s="11">
        <f t="shared" si="2"/>
        <v>0</v>
      </c>
      <c r="T26" s="11">
        <f t="shared" si="2"/>
        <v>0</v>
      </c>
      <c r="U26" s="11">
        <f t="shared" si="2"/>
        <v>0</v>
      </c>
      <c r="V26" s="11">
        <f t="shared" si="2"/>
        <v>0</v>
      </c>
      <c r="W26" s="11">
        <f t="shared" si="2"/>
        <v>0</v>
      </c>
      <c r="X26" s="11">
        <f t="shared" si="2"/>
        <v>0</v>
      </c>
      <c r="Y26" s="11">
        <f t="shared" si="2"/>
        <v>0</v>
      </c>
      <c r="Z26" s="11">
        <f t="shared" si="2"/>
        <v>0</v>
      </c>
      <c r="AA26" s="11">
        <f t="shared" si="2"/>
        <v>0</v>
      </c>
      <c r="AB26" s="11">
        <f t="shared" si="2"/>
        <v>0</v>
      </c>
      <c r="AC26" s="11">
        <f t="shared" si="2"/>
        <v>0</v>
      </c>
      <c r="AD26" s="11">
        <f t="shared" si="2"/>
        <v>0</v>
      </c>
      <c r="AE26" s="11">
        <f t="shared" si="2"/>
        <v>0</v>
      </c>
      <c r="AF26" s="11">
        <f t="shared" si="2"/>
        <v>0</v>
      </c>
      <c r="AG26" s="11">
        <f t="shared" si="2"/>
        <v>0</v>
      </c>
      <c r="AH26" s="11">
        <f t="shared" si="2"/>
        <v>0</v>
      </c>
    </row>
    <row r="27" spans="2:37" s="10" customFormat="1" x14ac:dyDescent="0.2">
      <c r="B27" s="10" t="s">
        <v>7</v>
      </c>
      <c r="D27" s="12">
        <f t="shared" ref="D27:AH27" si="3">D26/COUNTA(D15:D24)</f>
        <v>0</v>
      </c>
      <c r="E27" s="12">
        <f t="shared" si="3"/>
        <v>0</v>
      </c>
      <c r="F27" s="12">
        <f t="shared" si="3"/>
        <v>0</v>
      </c>
      <c r="G27" s="12">
        <f t="shared" si="3"/>
        <v>0</v>
      </c>
      <c r="H27" s="12">
        <f t="shared" si="3"/>
        <v>0</v>
      </c>
      <c r="I27" s="12">
        <f t="shared" si="3"/>
        <v>0</v>
      </c>
      <c r="J27" s="12">
        <f t="shared" si="3"/>
        <v>0</v>
      </c>
      <c r="K27" s="12">
        <f t="shared" si="3"/>
        <v>0</v>
      </c>
      <c r="L27" s="12">
        <f t="shared" si="3"/>
        <v>0</v>
      </c>
      <c r="M27" s="12">
        <f t="shared" si="3"/>
        <v>0</v>
      </c>
      <c r="N27" s="12">
        <f t="shared" si="3"/>
        <v>0</v>
      </c>
      <c r="O27" s="12">
        <f t="shared" si="3"/>
        <v>0</v>
      </c>
      <c r="P27" s="12">
        <f t="shared" si="3"/>
        <v>0</v>
      </c>
      <c r="Q27" s="12">
        <f t="shared" si="3"/>
        <v>0</v>
      </c>
      <c r="R27" s="12">
        <f t="shared" si="3"/>
        <v>0</v>
      </c>
      <c r="S27" s="12">
        <f t="shared" si="3"/>
        <v>0</v>
      </c>
      <c r="T27" s="12">
        <f t="shared" si="3"/>
        <v>0</v>
      </c>
      <c r="U27" s="12">
        <f t="shared" si="3"/>
        <v>0</v>
      </c>
      <c r="V27" s="12">
        <f t="shared" si="3"/>
        <v>0</v>
      </c>
      <c r="W27" s="12">
        <f t="shared" si="3"/>
        <v>0</v>
      </c>
      <c r="X27" s="12">
        <f t="shared" si="3"/>
        <v>0</v>
      </c>
      <c r="Y27" s="12">
        <f t="shared" si="3"/>
        <v>0</v>
      </c>
      <c r="Z27" s="12">
        <f t="shared" si="3"/>
        <v>0</v>
      </c>
      <c r="AA27" s="12">
        <f t="shared" si="3"/>
        <v>0</v>
      </c>
      <c r="AB27" s="12">
        <f t="shared" si="3"/>
        <v>0</v>
      </c>
      <c r="AC27" s="12">
        <f t="shared" si="3"/>
        <v>0</v>
      </c>
      <c r="AD27" s="12">
        <f t="shared" si="3"/>
        <v>0</v>
      </c>
      <c r="AE27" s="12">
        <f t="shared" si="3"/>
        <v>0</v>
      </c>
      <c r="AF27" s="12">
        <f t="shared" si="3"/>
        <v>0</v>
      </c>
      <c r="AG27" s="12">
        <f t="shared" si="3"/>
        <v>0</v>
      </c>
      <c r="AH27" s="12">
        <f t="shared" si="3"/>
        <v>0</v>
      </c>
    </row>
    <row r="28" spans="2:37" s="13" customFormat="1" hidden="1" x14ac:dyDescent="0.2"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2:37" s="15" customFormat="1" hidden="1" x14ac:dyDescent="0.2"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 t="s">
        <v>8</v>
      </c>
      <c r="Y29" s="8"/>
    </row>
  </sheetData>
  <sheetProtection algorithmName="SHA-512" hashValue="nehwq/g72eGdHszJO9NMdB3B446C894DUQhNUtNNkj/WYrx+70d2RY5ezechhTKwbNuT7Kh5tXqu0B1Huzuodg==" saltValue="HjJj435Zss1e2ZQ5LFrujQ==" spinCount="100000" sheet="1" objects="1" scenarios="1"/>
  <mergeCells count="8">
    <mergeCell ref="AJ12:AJ14"/>
    <mergeCell ref="AK12:AK14"/>
    <mergeCell ref="B12:B14"/>
    <mergeCell ref="D12:J12"/>
    <mergeCell ref="K12:Q12"/>
    <mergeCell ref="R12:X12"/>
    <mergeCell ref="Y12:AE12"/>
    <mergeCell ref="AF12:AH12"/>
  </mergeCells>
  <conditionalFormatting sqref="AC5:AC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{E780723F-1FB8-5647-89D3-64E1A5EA539A}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80723F-1FB8-5647-89D3-64E1A5EA53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AC5:AC7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2025-12-12T19:11:35Z</dcterms:created>
  <dcterms:modified xsi:type="dcterms:W3CDTF">2026-02-01T12:10:56Z</dcterms:modified>
</cp:coreProperties>
</file>